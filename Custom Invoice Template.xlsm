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si\Documents\Portfolio\"/>
    </mc:Choice>
  </mc:AlternateContent>
  <xr:revisionPtr revIDLastSave="0" documentId="13_ncr:1_{6EE82F6C-0418-47B5-9607-4E3AD2A53E24}" xr6:coauthVersionLast="47" xr6:coauthVersionMax="47" xr10:uidLastSave="{00000000-0000-0000-0000-000000000000}"/>
  <bookViews>
    <workbookView xWindow="-120" yWindow="-120" windowWidth="20730" windowHeight="11040" xr2:uid="{D50C578A-EF5B-4869-A430-7428A534B76B}"/>
  </bookViews>
  <sheets>
    <sheet name="Custom Invoice" sheetId="2" r:id="rId1"/>
    <sheet name="Instructions" sheetId="11" r:id="rId2"/>
    <sheet name="Control" sheetId="1" r:id="rId3"/>
    <sheet name="Invoice Details" sheetId="3" r:id="rId4"/>
    <sheet name="Equipment" sheetId="12" r:id="rId5"/>
    <sheet name="Voice" sheetId="4" r:id="rId6"/>
    <sheet name="Data" sheetId="9" r:id="rId7"/>
  </sheets>
  <definedNames>
    <definedName name="_xlnm.Print_Area" localSheetId="0">'Custom Invoice'!$A$1:$F$84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2" l="1"/>
  <c r="E59" i="12"/>
  <c r="E54" i="12"/>
  <c r="E49" i="12"/>
  <c r="E44" i="12"/>
  <c r="E39" i="12"/>
  <c r="E34" i="12"/>
  <c r="E29" i="12"/>
  <c r="E24" i="12"/>
  <c r="E19" i="12"/>
  <c r="J22" i="1"/>
  <c r="K22" i="1" s="1" a="1"/>
  <c r="K22" i="1" s="1"/>
  <c r="J11" i="1"/>
  <c r="J10" i="1"/>
  <c r="J9" i="1"/>
  <c r="J8" i="1"/>
  <c r="J7" i="1"/>
  <c r="J6" i="1"/>
  <c r="K12" i="4" l="1" a="1"/>
  <c r="K12" i="4" s="1"/>
  <c r="K75" i="9" a="1"/>
  <c r="K75" i="9" s="1"/>
  <c r="K68" i="9" a="1"/>
  <c r="K68" i="9" s="1"/>
  <c r="K61" i="9" a="1"/>
  <c r="K61" i="9" s="1"/>
  <c r="K54" i="9" a="1"/>
  <c r="K54" i="9" s="1"/>
  <c r="K47" i="9" a="1"/>
  <c r="K47" i="9" s="1"/>
  <c r="K40" i="9" a="1"/>
  <c r="K40" i="9" s="1"/>
  <c r="K33" i="9" a="1"/>
  <c r="K33" i="9" s="1"/>
  <c r="K26" i="9" a="1"/>
  <c r="K26" i="9" s="1"/>
  <c r="K19" i="9" a="1"/>
  <c r="K19" i="9" s="1"/>
  <c r="K12" i="9" a="1"/>
  <c r="K12" i="9" s="1"/>
  <c r="K75" i="4" a="1"/>
  <c r="K75" i="4" s="1"/>
  <c r="K68" i="4" a="1"/>
  <c r="K68" i="4" s="1"/>
  <c r="K61" i="4" a="1"/>
  <c r="K61" i="4" s="1"/>
  <c r="K54" i="4" a="1"/>
  <c r="K54" i="4" s="1"/>
  <c r="K47" i="4" a="1"/>
  <c r="K47" i="4" s="1"/>
  <c r="K40" i="4" a="1"/>
  <c r="K40" i="4" s="1"/>
  <c r="K33" i="4" a="1"/>
  <c r="K33" i="4" s="1"/>
  <c r="K26" i="4" a="1"/>
  <c r="K26" i="4" s="1"/>
  <c r="K19" i="4" a="1"/>
  <c r="K19" i="4" s="1"/>
  <c r="D11" i="3" l="1"/>
  <c r="D10" i="3"/>
  <c r="D79" i="2"/>
  <c r="D66" i="2"/>
  <c r="D65" i="2"/>
  <c r="E55" i="2"/>
  <c r="D55" i="2"/>
  <c r="A55" i="2"/>
  <c r="E42" i="2"/>
  <c r="E29" i="2"/>
  <c r="A29" i="2"/>
  <c r="A20" i="2"/>
  <c r="B16" i="2"/>
  <c r="B15" i="2"/>
  <c r="D12" i="3" l="1" a="1"/>
  <c r="D12" i="3" s="1"/>
  <c r="K77" i="4"/>
  <c r="S5" i="3" s="1"/>
  <c r="K77" i="9"/>
  <c r="S6" i="3" s="1"/>
  <c r="E74" i="9"/>
  <c r="E75" i="9" s="1" a="1"/>
  <c r="E75" i="9" s="1"/>
  <c r="D51" i="2" s="1"/>
  <c r="E67" i="9"/>
  <c r="E68" i="9" s="1" a="1"/>
  <c r="E68" i="9" s="1"/>
  <c r="D50" i="2" s="1"/>
  <c r="E60" i="9"/>
  <c r="E61" i="9" s="1" a="1"/>
  <c r="E61" i="9" s="1"/>
  <c r="D49" i="2" s="1"/>
  <c r="E53" i="9"/>
  <c r="E54" i="9" s="1" a="1"/>
  <c r="E54" i="9" s="1"/>
  <c r="D48" i="2" s="1"/>
  <c r="E46" i="9"/>
  <c r="E47" i="9" s="1" a="1"/>
  <c r="E47" i="9" s="1"/>
  <c r="D47" i="2" s="1"/>
  <c r="E39" i="9"/>
  <c r="E40" i="9" s="1" a="1"/>
  <c r="E40" i="9" s="1"/>
  <c r="D46" i="2" s="1"/>
  <c r="E32" i="9"/>
  <c r="E33" i="9" s="1" a="1"/>
  <c r="E33" i="9" s="1"/>
  <c r="D45" i="2" s="1"/>
  <c r="E25" i="9"/>
  <c r="E26" i="9" s="1" a="1"/>
  <c r="E26" i="9" s="1"/>
  <c r="D44" i="2" s="1"/>
  <c r="E18" i="9"/>
  <c r="E19" i="9" s="1" a="1"/>
  <c r="E19" i="9" s="1"/>
  <c r="D43" i="2" s="1"/>
  <c r="E11" i="9"/>
  <c r="E12" i="9" s="1" a="1"/>
  <c r="E12" i="9" s="1"/>
  <c r="D42" i="2" s="1"/>
  <c r="E77" i="9" l="1"/>
  <c r="E61" i="12"/>
  <c r="B14" i="2"/>
  <c r="C8" i="2"/>
  <c r="C7" i="2"/>
  <c r="C6" i="2"/>
  <c r="C5" i="2"/>
  <c r="F64" i="2"/>
  <c r="E64" i="2"/>
  <c r="D64" i="2"/>
  <c r="A64" i="2"/>
  <c r="F63" i="2"/>
  <c r="E63" i="2"/>
  <c r="D63" i="2"/>
  <c r="A63" i="2"/>
  <c r="F62" i="2"/>
  <c r="E62" i="2"/>
  <c r="D62" i="2"/>
  <c r="A62" i="2"/>
  <c r="F61" i="2"/>
  <c r="E61" i="2"/>
  <c r="D61" i="2"/>
  <c r="A61" i="2"/>
  <c r="F60" i="2"/>
  <c r="E60" i="2"/>
  <c r="D60" i="2"/>
  <c r="A60" i="2"/>
  <c r="F59" i="2"/>
  <c r="E59" i="2"/>
  <c r="D59" i="2"/>
  <c r="A59" i="2"/>
  <c r="F58" i="2"/>
  <c r="E58" i="2"/>
  <c r="D58" i="2"/>
  <c r="A58" i="2"/>
  <c r="F57" i="2"/>
  <c r="E57" i="2"/>
  <c r="D57" i="2"/>
  <c r="A57" i="2"/>
  <c r="F56" i="2"/>
  <c r="E56" i="2"/>
  <c r="D56" i="2"/>
  <c r="A56" i="2"/>
  <c r="F55" i="2"/>
  <c r="F51" i="2"/>
  <c r="E51" i="2"/>
  <c r="A51" i="2"/>
  <c r="F50" i="2"/>
  <c r="E50" i="2"/>
  <c r="A50" i="2"/>
  <c r="F49" i="2"/>
  <c r="E49" i="2"/>
  <c r="A49" i="2"/>
  <c r="F48" i="2"/>
  <c r="E48" i="2"/>
  <c r="A48" i="2"/>
  <c r="F47" i="2"/>
  <c r="E47" i="2"/>
  <c r="A47" i="2"/>
  <c r="F46" i="2"/>
  <c r="E46" i="2"/>
  <c r="A46" i="2"/>
  <c r="F45" i="2"/>
  <c r="E45" i="2"/>
  <c r="A45" i="2"/>
  <c r="F44" i="2"/>
  <c r="E44" i="2"/>
  <c r="A44" i="2"/>
  <c r="F43" i="2"/>
  <c r="E43" i="2"/>
  <c r="A43" i="2"/>
  <c r="F42" i="2"/>
  <c r="A42" i="2"/>
  <c r="F38" i="2"/>
  <c r="E38" i="2"/>
  <c r="A38" i="2"/>
  <c r="F37" i="2"/>
  <c r="E37" i="2"/>
  <c r="A37" i="2"/>
  <c r="F36" i="2"/>
  <c r="E36" i="2"/>
  <c r="A36" i="2"/>
  <c r="F35" i="2"/>
  <c r="E35" i="2"/>
  <c r="A35" i="2"/>
  <c r="F34" i="2"/>
  <c r="E34" i="2"/>
  <c r="A34" i="2"/>
  <c r="F33" i="2"/>
  <c r="E33" i="2"/>
  <c r="A33" i="2"/>
  <c r="F32" i="2"/>
  <c r="E32" i="2"/>
  <c r="A32" i="2"/>
  <c r="F31" i="2"/>
  <c r="E31" i="2"/>
  <c r="A31" i="2"/>
  <c r="F30" i="2"/>
  <c r="E30" i="2"/>
  <c r="A30" i="2"/>
  <c r="F29" i="2"/>
  <c r="E74" i="4"/>
  <c r="E67" i="4"/>
  <c r="E60" i="4"/>
  <c r="E53" i="4"/>
  <c r="E46" i="4"/>
  <c r="E39" i="4"/>
  <c r="E32" i="4"/>
  <c r="E25" i="4"/>
  <c r="E18" i="4"/>
  <c r="E11" i="4"/>
  <c r="E12" i="4" s="1" a="1"/>
  <c r="E12" i="4" s="1"/>
  <c r="X6" i="3" l="1"/>
  <c r="S7" i="3"/>
  <c r="S8" i="3" s="1"/>
  <c r="D70" i="2" s="1"/>
  <c r="D71" i="2" s="1"/>
  <c r="E67" i="2"/>
  <c r="E52" i="2"/>
  <c r="E75" i="4" a="1"/>
  <c r="E75" i="4" s="1"/>
  <c r="D38" i="2" s="1"/>
  <c r="E68" i="4" a="1"/>
  <c r="E68" i="4" s="1"/>
  <c r="D37" i="2" s="1"/>
  <c r="E61" i="4" a="1"/>
  <c r="E61" i="4" s="1"/>
  <c r="D36" i="2" s="1"/>
  <c r="E54" i="4" a="1"/>
  <c r="E54" i="4" s="1"/>
  <c r="D35" i="2" s="1"/>
  <c r="E47" i="4" a="1"/>
  <c r="E47" i="4" s="1"/>
  <c r="D34" i="2" s="1"/>
  <c r="E40" i="4" a="1"/>
  <c r="E40" i="4" s="1"/>
  <c r="D33" i="2" s="1"/>
  <c r="E33" i="4" a="1"/>
  <c r="E33" i="4" s="1"/>
  <c r="D32" i="2" s="1"/>
  <c r="E26" i="4" a="1"/>
  <c r="E26" i="4" s="1"/>
  <c r="D31" i="2" s="1"/>
  <c r="E19" i="4" a="1"/>
  <c r="E19" i="4" s="1"/>
  <c r="D30" i="2" s="1"/>
  <c r="D67" i="2"/>
  <c r="D52" i="2"/>
  <c r="E39" i="2"/>
  <c r="I10" i="3"/>
  <c r="D20" i="2"/>
  <c r="B17" i="2"/>
  <c r="D29" i="2" l="1"/>
  <c r="D39" i="2" s="1"/>
  <c r="D78" i="2" s="1"/>
  <c r="E77" i="4"/>
  <c r="D75" i="2"/>
  <c r="X5" i="3" l="1"/>
  <c r="X8" i="3" s="1"/>
  <c r="J12" i="1" s="1"/>
  <c r="D8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<sst xmlns="http://schemas.openxmlformats.org/spreadsheetml/2006/main" count="672" uniqueCount="370">
  <si>
    <t>User Input</t>
  </si>
  <si>
    <t>Notations</t>
  </si>
  <si>
    <t>BAN Name</t>
  </si>
  <si>
    <t>Attn / AU Name</t>
  </si>
  <si>
    <t>Name</t>
  </si>
  <si>
    <t>Address Line 1</t>
  </si>
  <si>
    <t>Case</t>
  </si>
  <si>
    <t>Address Line 2</t>
  </si>
  <si>
    <t>Coach</t>
  </si>
  <si>
    <t>Account Number</t>
  </si>
  <si>
    <t>Requestor</t>
  </si>
  <si>
    <t>Invoice Number</t>
  </si>
  <si>
    <t>Period of Performance Start Date</t>
  </si>
  <si>
    <t>Period of Performance End Date</t>
  </si>
  <si>
    <t>Term of Invoice</t>
  </si>
  <si>
    <t>Click Start</t>
  </si>
  <si>
    <t>Handset/Accessory Tax</t>
  </si>
  <si>
    <t>Freight/Shipping Charges</t>
  </si>
  <si>
    <t>Number of Voice Plans</t>
  </si>
  <si>
    <t>Number of Data Plans</t>
  </si>
  <si>
    <t>Rate Plan Cost (per line)</t>
  </si>
  <si>
    <t>Number of lines</t>
  </si>
  <si>
    <t>Total Service Charges for Billing Period</t>
  </si>
  <si>
    <t>Adjustments Applied</t>
  </si>
  <si>
    <t>Total Amount Due for Billing Period</t>
  </si>
  <si>
    <t>Invoice Date</t>
  </si>
  <si>
    <t>Rate Plan Description</t>
  </si>
  <si>
    <t>Vendor Information</t>
  </si>
  <si>
    <t>Customer  Information</t>
  </si>
  <si>
    <t>Remit address:</t>
  </si>
  <si>
    <t>Statement Information</t>
  </si>
  <si>
    <t xml:space="preserve">Invoice Date: </t>
  </si>
  <si>
    <t xml:space="preserve">Invoice Number: </t>
  </si>
  <si>
    <t>Account Number:</t>
  </si>
  <si>
    <t xml:space="preserve">Purchase Order Number: </t>
  </si>
  <si>
    <t>Period of Performance:</t>
  </si>
  <si>
    <t>Invoice Details</t>
  </si>
  <si>
    <t>Acct Totals</t>
  </si>
  <si>
    <t>Units</t>
  </si>
  <si>
    <t>Rate</t>
  </si>
  <si>
    <t>Access and Related Charges</t>
  </si>
  <si>
    <t>Subtotal</t>
  </si>
  <si>
    <t>Cellular Services</t>
  </si>
  <si>
    <t>Data Services</t>
  </si>
  <si>
    <t>One Time Charge for Freight</t>
  </si>
  <si>
    <t>Government Fees, Taxes and Surcharges</t>
  </si>
  <si>
    <t>Miscellaneous</t>
  </si>
  <si>
    <t>Invoice Summary</t>
  </si>
  <si>
    <t>Overall Total:</t>
  </si>
  <si>
    <t>Adjustments Applied:</t>
  </si>
  <si>
    <t xml:space="preserve">Total Due For Billing Period: </t>
  </si>
  <si>
    <t>Government Unlimited Phone</t>
  </si>
  <si>
    <t>Monthly Taxes/Fees per line</t>
  </si>
  <si>
    <t>Total Taxes/Fees for Billing Period</t>
  </si>
  <si>
    <t>Taxes and Fees</t>
  </si>
  <si>
    <t>Rate Plan Code</t>
  </si>
  <si>
    <t>GOVUNL100</t>
  </si>
  <si>
    <t>Account Information</t>
  </si>
  <si>
    <t>What is included</t>
  </si>
  <si>
    <t>Total Voice Plan Charges for Billing Period</t>
  </si>
  <si>
    <t>Total Data Plan Charges for Billing Period</t>
  </si>
  <si>
    <t>Equipment Purchases</t>
  </si>
  <si>
    <t>Purchase Order Number</t>
  </si>
  <si>
    <t>Instructions</t>
  </si>
  <si>
    <t>Send To:</t>
  </si>
  <si>
    <t>CEM</t>
  </si>
  <si>
    <t>Title</t>
  </si>
  <si>
    <t>Email Address</t>
  </si>
  <si>
    <t>TM</t>
  </si>
  <si>
    <t>AE</t>
  </si>
  <si>
    <t>Sr Manager</t>
  </si>
  <si>
    <t>Order Number</t>
  </si>
  <si>
    <t>General</t>
  </si>
  <si>
    <t>Equipment</t>
  </si>
  <si>
    <t>Voice</t>
  </si>
  <si>
    <t>Data</t>
  </si>
  <si>
    <t>Taxes</t>
  </si>
  <si>
    <t>Totals</t>
  </si>
  <si>
    <t>Number of Device Types</t>
  </si>
  <si>
    <t>Device Type 1</t>
  </si>
  <si>
    <t>Cost Per Device</t>
  </si>
  <si>
    <t>Quantity Ordered</t>
  </si>
  <si>
    <t>Total</t>
  </si>
  <si>
    <t>Device Type 2</t>
  </si>
  <si>
    <t>Device Type 3</t>
  </si>
  <si>
    <t>Device Type 4</t>
  </si>
  <si>
    <t>Device Type 5</t>
  </si>
  <si>
    <t>Device Type 6</t>
  </si>
  <si>
    <t>Device Type 7</t>
  </si>
  <si>
    <t>Device Type 8</t>
  </si>
  <si>
    <t>Device Type 9</t>
  </si>
  <si>
    <t>Device Type 10</t>
  </si>
  <si>
    <t>DT1</t>
  </si>
  <si>
    <t>DT1 Cost Per Device</t>
  </si>
  <si>
    <t>DT1 Quantity</t>
  </si>
  <si>
    <t>DT1 Total</t>
  </si>
  <si>
    <t>DT2</t>
  </si>
  <si>
    <t>DT2 Cost Per Device</t>
  </si>
  <si>
    <t>DT2 Quantity</t>
  </si>
  <si>
    <t>DT2 Total</t>
  </si>
  <si>
    <t>DT3</t>
  </si>
  <si>
    <t>DT3 Cost Per Device</t>
  </si>
  <si>
    <t>DT3 Quantity</t>
  </si>
  <si>
    <t>DT3 Total</t>
  </si>
  <si>
    <t>DT4</t>
  </si>
  <si>
    <t>DT4 Cost Per Device</t>
  </si>
  <si>
    <t>DT4 Quantity</t>
  </si>
  <si>
    <t>DT4 Total</t>
  </si>
  <si>
    <t>DT5</t>
  </si>
  <si>
    <t>DT5 Cost Per Device</t>
  </si>
  <si>
    <t>DT5 Quantity</t>
  </si>
  <si>
    <t>DT5 Total</t>
  </si>
  <si>
    <t>DT6</t>
  </si>
  <si>
    <t>DT6 Cost Per Device</t>
  </si>
  <si>
    <t>DT6 Quantity</t>
  </si>
  <si>
    <t>DT6 Total</t>
  </si>
  <si>
    <t>DT7</t>
  </si>
  <si>
    <t>DT7 Cost Per Device</t>
  </si>
  <si>
    <t>DT7 Quantity</t>
  </si>
  <si>
    <t>DT7 Total</t>
  </si>
  <si>
    <t>DT8</t>
  </si>
  <si>
    <t>DT8 Cost Per Device</t>
  </si>
  <si>
    <t>DT8 Quantity</t>
  </si>
  <si>
    <t>DT8 Total</t>
  </si>
  <si>
    <t>DT9</t>
  </si>
  <si>
    <t>DT9 Cost Per Device</t>
  </si>
  <si>
    <t>DT9 Quantity</t>
  </si>
  <si>
    <t>DT9 Total</t>
  </si>
  <si>
    <t>DT10</t>
  </si>
  <si>
    <t>DT10 Cost Per Device</t>
  </si>
  <si>
    <t>DT10 Quantity</t>
  </si>
  <si>
    <t>DT10 Total</t>
  </si>
  <si>
    <t>GSM1 Code</t>
  </si>
  <si>
    <t>GSM1 Description</t>
  </si>
  <si>
    <t>GSM1 Cost</t>
  </si>
  <si>
    <t>GSM1 Quantity</t>
  </si>
  <si>
    <t>GSM2 Code</t>
  </si>
  <si>
    <t>GSM2 Description</t>
  </si>
  <si>
    <t>GSM2 Cost</t>
  </si>
  <si>
    <t>GSM2 Quantity</t>
  </si>
  <si>
    <t>GSM3 Code</t>
  </si>
  <si>
    <t>GSM3 Description</t>
  </si>
  <si>
    <t>GSM3 Cost</t>
  </si>
  <si>
    <t>GSM3 Quantity</t>
  </si>
  <si>
    <t>GSM4 Code</t>
  </si>
  <si>
    <t>GSM4 Description</t>
  </si>
  <si>
    <t>GSM4 Cost</t>
  </si>
  <si>
    <t>GSM4 Quantity</t>
  </si>
  <si>
    <t>GSM5 Code</t>
  </si>
  <si>
    <t>GSM5 Description</t>
  </si>
  <si>
    <t>GSM5 Cost</t>
  </si>
  <si>
    <t>GSM5 Quantity</t>
  </si>
  <si>
    <t>GSM6 Code</t>
  </si>
  <si>
    <t>GSM6 Description</t>
  </si>
  <si>
    <t>GSM6 Cost</t>
  </si>
  <si>
    <t>GSM6 Quantity</t>
  </si>
  <si>
    <t>GSM7 Code</t>
  </si>
  <si>
    <t>GSM7 Description</t>
  </si>
  <si>
    <t>GSM7 Cost</t>
  </si>
  <si>
    <t>GSM7 Quantity</t>
  </si>
  <si>
    <t>GSM8 Code</t>
  </si>
  <si>
    <t>GSM8 Description</t>
  </si>
  <si>
    <t>GSM8 Cost</t>
  </si>
  <si>
    <t>GSM8 Quantity</t>
  </si>
  <si>
    <t>GSM9 Code</t>
  </si>
  <si>
    <t>GSM9 Description</t>
  </si>
  <si>
    <t>GSM9 Cost</t>
  </si>
  <si>
    <t>GSM9 Quantity</t>
  </si>
  <si>
    <t>GSM10 Code</t>
  </si>
  <si>
    <t>GSM10 Description</t>
  </si>
  <si>
    <t>GSM10 Cost</t>
  </si>
  <si>
    <t>GSM10 Quantity</t>
  </si>
  <si>
    <t>MI1 Code</t>
  </si>
  <si>
    <t>MI1 Description</t>
  </si>
  <si>
    <t>MI1 Cost</t>
  </si>
  <si>
    <t>MI1 Quantity</t>
  </si>
  <si>
    <t>MI2 Code</t>
  </si>
  <si>
    <t>MI2 Description</t>
  </si>
  <si>
    <t>MI2 Cost</t>
  </si>
  <si>
    <t>MI2 Quantity</t>
  </si>
  <si>
    <t>MI3 Code</t>
  </si>
  <si>
    <t>MI3 Description</t>
  </si>
  <si>
    <t>MI3 Cost</t>
  </si>
  <si>
    <t>MI3 Quantity</t>
  </si>
  <si>
    <t>MI4 Code</t>
  </si>
  <si>
    <t>MI4 Description</t>
  </si>
  <si>
    <t>MI4 Cost</t>
  </si>
  <si>
    <t>MI4 Quantity</t>
  </si>
  <si>
    <t>MI5 Code</t>
  </si>
  <si>
    <t>MI5 Description</t>
  </si>
  <si>
    <t>MI5 Cost</t>
  </si>
  <si>
    <t>MI5 Quantity</t>
  </si>
  <si>
    <t>MI6 Code</t>
  </si>
  <si>
    <t>MI6 Description</t>
  </si>
  <si>
    <t>MI6 Cost</t>
  </si>
  <si>
    <t>MI6 Quantity</t>
  </si>
  <si>
    <t>MI7 Code</t>
  </si>
  <si>
    <t>MI7 Description</t>
  </si>
  <si>
    <t>MI7 Cost</t>
  </si>
  <si>
    <t>MI7 Quantity</t>
  </si>
  <si>
    <t>MI8 Code</t>
  </si>
  <si>
    <t>MI8 Description</t>
  </si>
  <si>
    <t>MI8 Cost</t>
  </si>
  <si>
    <t>MI8 Quantity</t>
  </si>
  <si>
    <t>MI9 Code</t>
  </si>
  <si>
    <t>MI9 Description</t>
  </si>
  <si>
    <t>MI9 Cost</t>
  </si>
  <si>
    <t>MI9 Quantity</t>
  </si>
  <si>
    <t>MI10 Code</t>
  </si>
  <si>
    <t>MI10 Description</t>
  </si>
  <si>
    <t>MI10 Cost</t>
  </si>
  <si>
    <t>MI10 Quantity</t>
  </si>
  <si>
    <t>GSM1 Total</t>
  </si>
  <si>
    <t>GSM2 Total</t>
  </si>
  <si>
    <t>GSM3 Total</t>
  </si>
  <si>
    <t>GSM4 Total</t>
  </si>
  <si>
    <t>GSM5 Total</t>
  </si>
  <si>
    <t>GSM6 Total</t>
  </si>
  <si>
    <t>GSM7 Total</t>
  </si>
  <si>
    <t>GSM8 Total</t>
  </si>
  <si>
    <t>GSM9 Total</t>
  </si>
  <si>
    <t>GSM10 Total</t>
  </si>
  <si>
    <t>MI1 Total</t>
  </si>
  <si>
    <t>MI2 Total</t>
  </si>
  <si>
    <t>MI3 Total</t>
  </si>
  <si>
    <t>MI4 Total</t>
  </si>
  <si>
    <t>MI5 Total</t>
  </si>
  <si>
    <t>MI6 Total</t>
  </si>
  <si>
    <t>MI7 Total</t>
  </si>
  <si>
    <t>MI8 Total</t>
  </si>
  <si>
    <t>MI9 Total</t>
  </si>
  <si>
    <t>MI10 Total</t>
  </si>
  <si>
    <t>Total Equipment Charges</t>
  </si>
  <si>
    <t>Monthly Total</t>
  </si>
  <si>
    <t>Total for Billing Period</t>
  </si>
  <si>
    <t>GSM1 BPT</t>
  </si>
  <si>
    <t>GSM2 BPT</t>
  </si>
  <si>
    <t>GSM3 BPT</t>
  </si>
  <si>
    <t>GSM4 BPT</t>
  </si>
  <si>
    <t>GSM5 BPT</t>
  </si>
  <si>
    <t>GSM6 BPT</t>
  </si>
  <si>
    <t>GSM7 BPT</t>
  </si>
  <si>
    <t>GSM8 BPT</t>
  </si>
  <si>
    <t>GSM9 BPT</t>
  </si>
  <si>
    <t>GSM10 BPT</t>
  </si>
  <si>
    <t>MI1 BPT</t>
  </si>
  <si>
    <t>MI2 BPT</t>
  </si>
  <si>
    <t>MI3 BPT</t>
  </si>
  <si>
    <t>MI4 BPT</t>
  </si>
  <si>
    <t>MI5 BPT</t>
  </si>
  <si>
    <t>MI6 BPT</t>
  </si>
  <si>
    <t>MI7 BPT</t>
  </si>
  <si>
    <t>MI8 BPT</t>
  </si>
  <si>
    <t>MI9 BPT</t>
  </si>
  <si>
    <t>MI10 BPT</t>
  </si>
  <si>
    <t>Total Number of Devices</t>
  </si>
  <si>
    <t>Total Equipment Charges for Billing Period</t>
  </si>
  <si>
    <t>GSM1 Tax Total</t>
  </si>
  <si>
    <t>GSM1 Tax BPT</t>
  </si>
  <si>
    <t>GSM2 Tax Total</t>
  </si>
  <si>
    <t>GSM2 Tax BPT</t>
  </si>
  <si>
    <t>GSM3 Tax Total</t>
  </si>
  <si>
    <t>GSM3 Tax BPT</t>
  </si>
  <si>
    <t>GSM4 Tax Total</t>
  </si>
  <si>
    <t>GSM4 Tax BPT</t>
  </si>
  <si>
    <t>GSM5 Tax Total</t>
  </si>
  <si>
    <t>GSM5 Tax BPT</t>
  </si>
  <si>
    <t>GSM6 Tax Total</t>
  </si>
  <si>
    <t>GSM6 Tax BPT</t>
  </si>
  <si>
    <t>GSM7 Tax Total</t>
  </si>
  <si>
    <t>GSM7 Tax BPT</t>
  </si>
  <si>
    <t>GSM8 Tax Total</t>
  </si>
  <si>
    <t>GSM8 Tax BPT</t>
  </si>
  <si>
    <t>GSM9 Tax Total</t>
  </si>
  <si>
    <t>GSM9 Tax BPT</t>
  </si>
  <si>
    <t>GSM10 Tax Total</t>
  </si>
  <si>
    <t>GSM10 Tax BPT</t>
  </si>
  <si>
    <t>GSM Tax BPT</t>
  </si>
  <si>
    <t>Total Taxes/Fees for All Voice Lines for Billing Period</t>
  </si>
  <si>
    <t>MI1 Tax Total</t>
  </si>
  <si>
    <t>MI1 Tax BPT</t>
  </si>
  <si>
    <t>MI2 Tax Total</t>
  </si>
  <si>
    <t>MI2 Tax BPT</t>
  </si>
  <si>
    <t>MI3 Tax Total</t>
  </si>
  <si>
    <t>MI3 Tax BPT</t>
  </si>
  <si>
    <t>MI4 Tax Total</t>
  </si>
  <si>
    <t>MI4 Tax BPT</t>
  </si>
  <si>
    <t>MI5 Tax Total</t>
  </si>
  <si>
    <t>MI5 Tax BPT</t>
  </si>
  <si>
    <t>MI6 Tax Total</t>
  </si>
  <si>
    <t>MI6 Tax BPT</t>
  </si>
  <si>
    <t>MI7 Tax Total</t>
  </si>
  <si>
    <t>MI7 Tax BPT</t>
  </si>
  <si>
    <t>MI8 Tax Total</t>
  </si>
  <si>
    <t>MI8 Tax BPT</t>
  </si>
  <si>
    <t>MI9 Tax Total</t>
  </si>
  <si>
    <t>MI9 Tax BPT</t>
  </si>
  <si>
    <t>MI10 Tax Total</t>
  </si>
  <si>
    <t>MI10 Tax BPT</t>
  </si>
  <si>
    <t>MI Tax BPT</t>
  </si>
  <si>
    <t>Total Taxes/Fees for All Data Lines for Billing Period</t>
  </si>
  <si>
    <t>Total Taxes/Fees for Voice Lines</t>
  </si>
  <si>
    <t>Total Taxes/Fees for Data Lines</t>
  </si>
  <si>
    <t>Total Taxes/Fees for Equipment</t>
  </si>
  <si>
    <t>Enter Tax/Fee Info for Each Rate Plan</t>
  </si>
  <si>
    <t>-</t>
  </si>
  <si>
    <t>Save As</t>
  </si>
  <si>
    <t>12 Months</t>
  </si>
  <si>
    <t>Control Tab:</t>
  </si>
  <si>
    <t>1.)</t>
  </si>
  <si>
    <r>
      <t xml:space="preserve">Fill out all fields </t>
    </r>
    <r>
      <rPr>
        <b/>
        <sz val="10"/>
        <color theme="1"/>
        <rFont val="Calibri"/>
        <family val="2"/>
        <scheme val="minor"/>
      </rPr>
      <t>User Information</t>
    </r>
    <r>
      <rPr>
        <sz val="10"/>
        <color theme="1"/>
        <rFont val="Calibri"/>
        <family val="2"/>
        <scheme val="minor"/>
      </rPr>
      <t xml:space="preserve"> and </t>
    </r>
    <r>
      <rPr>
        <b/>
        <sz val="10"/>
        <color theme="1"/>
        <rFont val="Calibri"/>
        <family val="2"/>
        <scheme val="minor"/>
      </rPr>
      <t>Account  Information</t>
    </r>
    <r>
      <rPr>
        <sz val="10"/>
        <color theme="1"/>
        <rFont val="Calibri"/>
        <family val="2"/>
        <scheme val="minor"/>
      </rPr>
      <t xml:space="preserve"> sections.</t>
    </r>
  </si>
  <si>
    <r>
      <t xml:space="preserve">Exception: If no order number was provided, the </t>
    </r>
    <r>
      <rPr>
        <b/>
        <sz val="10"/>
        <color theme="1"/>
        <rFont val="Calibri"/>
        <family val="2"/>
        <scheme val="minor"/>
      </rPr>
      <t>Order Number</t>
    </r>
    <r>
      <rPr>
        <sz val="10"/>
        <color theme="1"/>
        <rFont val="Calibri"/>
        <family val="2"/>
        <scheme val="minor"/>
      </rPr>
      <t xml:space="preserve"> field can be left blank.</t>
    </r>
  </si>
  <si>
    <t>2.)</t>
  </si>
  <si>
    <r>
      <t xml:space="preserve">In the </t>
    </r>
    <r>
      <rPr>
        <b/>
        <sz val="10"/>
        <color theme="1"/>
        <rFont val="Calibri"/>
        <family val="2"/>
        <scheme val="minor"/>
      </rPr>
      <t>Send To</t>
    </r>
    <r>
      <rPr>
        <sz val="10"/>
        <color theme="1"/>
        <rFont val="Calibri"/>
        <family val="2"/>
        <scheme val="minor"/>
      </rPr>
      <t>: field, fill out the Account Executive (</t>
    </r>
    <r>
      <rPr>
        <b/>
        <sz val="10"/>
        <color theme="1"/>
        <rFont val="Calibri"/>
        <family val="2"/>
        <scheme val="minor"/>
      </rPr>
      <t>AE</t>
    </r>
    <r>
      <rPr>
        <sz val="10"/>
        <color theme="1"/>
        <rFont val="Calibri"/>
        <family val="2"/>
        <scheme val="minor"/>
      </rPr>
      <t xml:space="preserve">) and </t>
    </r>
    <r>
      <rPr>
        <b/>
        <sz val="10"/>
        <color theme="1"/>
        <rFont val="Calibri"/>
        <family val="2"/>
        <scheme val="minor"/>
      </rPr>
      <t>Senior Manager</t>
    </r>
    <r>
      <rPr>
        <sz val="10"/>
        <color theme="1"/>
        <rFont val="Calibri"/>
        <family val="2"/>
        <scheme val="minor"/>
      </rPr>
      <t>'s names and email addresses.</t>
    </r>
  </si>
  <si>
    <t>Invoice Details Tab:</t>
  </si>
  <si>
    <t>3.)</t>
  </si>
  <si>
    <r>
      <t xml:space="preserve">Fill out all fields in the </t>
    </r>
    <r>
      <rPr>
        <b/>
        <sz val="10"/>
        <color theme="1"/>
        <rFont val="Calibri"/>
        <family val="2"/>
        <scheme val="minor"/>
      </rPr>
      <t>General</t>
    </r>
    <r>
      <rPr>
        <sz val="10"/>
        <color theme="1"/>
        <rFont val="Calibri"/>
        <family val="2"/>
        <scheme val="minor"/>
      </rPr>
      <t xml:space="preserve"> section.</t>
    </r>
  </si>
  <si>
    <r>
      <t xml:space="preserve">Exception: If no purchase order number was provided, the </t>
    </r>
    <r>
      <rPr>
        <b/>
        <sz val="10"/>
        <color theme="1"/>
        <rFont val="Calibri"/>
        <family val="2"/>
        <scheme val="minor"/>
      </rPr>
      <t>Purchase Order Number</t>
    </r>
    <r>
      <rPr>
        <sz val="10"/>
        <color theme="1"/>
        <rFont val="Calibri"/>
        <family val="2"/>
        <scheme val="minor"/>
      </rPr>
      <t xml:space="preserve"> field can be left blank.</t>
    </r>
  </si>
  <si>
    <r>
      <t xml:space="preserve">IMPORTANT: </t>
    </r>
    <r>
      <rPr>
        <b/>
        <sz val="10"/>
        <color theme="1"/>
        <rFont val="Calibri"/>
        <family val="2"/>
        <scheme val="minor"/>
      </rPr>
      <t>Period of Performance Start and End Dates</t>
    </r>
    <r>
      <rPr>
        <sz val="10"/>
        <color theme="1"/>
        <rFont val="Calibri"/>
        <family val="2"/>
        <scheme val="minor"/>
      </rPr>
      <t xml:space="preserve"> </t>
    </r>
    <r>
      <rPr>
        <b/>
        <i/>
        <sz val="10"/>
        <color theme="1"/>
        <rFont val="Calibri"/>
        <family val="2"/>
        <scheme val="minor"/>
      </rPr>
      <t>MUST</t>
    </r>
    <r>
      <rPr>
        <sz val="10"/>
        <color theme="1"/>
        <rFont val="Calibri"/>
        <family val="2"/>
        <scheme val="minor"/>
      </rPr>
      <t xml:space="preserve"> be provided.</t>
    </r>
  </si>
  <si>
    <t>4.)</t>
  </si>
  <si>
    <r>
      <t xml:space="preserve">If adjustments have been applied, enter the amount in the </t>
    </r>
    <r>
      <rPr>
        <b/>
        <sz val="10"/>
        <color theme="1"/>
        <rFont val="Calibri"/>
        <family val="2"/>
        <scheme val="minor"/>
      </rPr>
      <t>Adjustments Applied</t>
    </r>
    <r>
      <rPr>
        <sz val="10"/>
        <color theme="1"/>
        <rFont val="Calibri"/>
        <family val="2"/>
        <scheme val="minor"/>
      </rPr>
      <t xml:space="preserve"> field in the </t>
    </r>
    <r>
      <rPr>
        <b/>
        <sz val="10"/>
        <color theme="1"/>
        <rFont val="Calibri"/>
        <family val="2"/>
        <scheme val="minor"/>
      </rPr>
      <t>Totals</t>
    </r>
    <r>
      <rPr>
        <sz val="10"/>
        <color theme="1"/>
        <rFont val="Calibri"/>
        <family val="2"/>
        <scheme val="minor"/>
      </rPr>
      <t xml:space="preserve"> section.</t>
    </r>
  </si>
  <si>
    <r>
      <t xml:space="preserve">If </t>
    </r>
    <r>
      <rPr>
        <b/>
        <sz val="10"/>
        <color theme="1"/>
        <rFont val="Calibri"/>
        <family val="2"/>
        <scheme val="minor"/>
      </rPr>
      <t>Equipment</t>
    </r>
    <r>
      <rPr>
        <sz val="10"/>
        <color theme="1"/>
        <rFont val="Calibri"/>
        <family val="2"/>
        <scheme val="minor"/>
      </rPr>
      <t xml:space="preserve"> or </t>
    </r>
    <r>
      <rPr>
        <b/>
        <sz val="10"/>
        <color theme="1"/>
        <rFont val="Calibri"/>
        <family val="2"/>
        <scheme val="minor"/>
      </rPr>
      <t>Services and Equipment</t>
    </r>
    <r>
      <rPr>
        <sz val="10"/>
        <color theme="1"/>
        <rFont val="Calibri"/>
        <family val="2"/>
        <scheme val="minor"/>
      </rPr>
      <t xml:space="preserve"> were selected on the Invoice Details tab, the</t>
    </r>
    <r>
      <rPr>
        <b/>
        <sz val="10"/>
        <color theme="1"/>
        <rFont val="Calibri"/>
        <family val="2"/>
        <scheme val="minor"/>
      </rPr>
      <t xml:space="preserve"> Equipment</t>
    </r>
    <r>
      <rPr>
        <sz val="10"/>
        <color theme="1"/>
        <rFont val="Calibri"/>
        <family val="2"/>
        <scheme val="minor"/>
      </rPr>
      <t xml:space="preserve"> tab will appear..</t>
    </r>
  </si>
  <si>
    <t>Equipment Tab:</t>
  </si>
  <si>
    <r>
      <t>Total Number of Devices</t>
    </r>
    <r>
      <rPr>
        <sz val="10"/>
        <color theme="1"/>
        <rFont val="Calibri"/>
        <family val="2"/>
        <scheme val="minor"/>
      </rPr>
      <t xml:space="preserve"> refers to the total amount of devices that are being invoiced;</t>
    </r>
  </si>
  <si>
    <r>
      <t>Number of Device Types</t>
    </r>
    <r>
      <rPr>
        <sz val="10"/>
        <color theme="1"/>
        <rFont val="Calibri"/>
        <family val="2"/>
        <scheme val="minor"/>
      </rPr>
      <t xml:space="preserve"> refers to the</t>
    </r>
    <r>
      <rPr>
        <i/>
        <sz val="10"/>
        <color theme="1"/>
        <rFont val="Calibri"/>
        <family val="2"/>
        <scheme val="minor"/>
      </rPr>
      <t xml:space="preserve"> different types</t>
    </r>
    <r>
      <rPr>
        <sz val="10"/>
        <color theme="1"/>
        <rFont val="Calibri"/>
        <family val="2"/>
        <scheme val="minor"/>
      </rPr>
      <t xml:space="preserve"> of devices on the order.</t>
    </r>
  </si>
  <si>
    <t xml:space="preserve">for example, if 30 iPhones and 40 Franklin T9s were ordered, </t>
  </si>
  <si>
    <r>
      <t xml:space="preserve">the </t>
    </r>
    <r>
      <rPr>
        <b/>
        <sz val="10"/>
        <color theme="1"/>
        <rFont val="Calibri"/>
        <family val="2"/>
        <scheme val="minor"/>
      </rPr>
      <t>Total Number of Devices</t>
    </r>
    <r>
      <rPr>
        <sz val="10"/>
        <color theme="1"/>
        <rFont val="Calibri"/>
        <family val="2"/>
        <scheme val="minor"/>
      </rPr>
      <t xml:space="preserve"> would be 70, </t>
    </r>
  </si>
  <si>
    <r>
      <t xml:space="preserve">but the </t>
    </r>
    <r>
      <rPr>
        <b/>
        <sz val="10"/>
        <color theme="1"/>
        <rFont val="Calibri"/>
        <family val="2"/>
        <scheme val="minor"/>
      </rPr>
      <t>Number of Device Types</t>
    </r>
    <r>
      <rPr>
        <sz val="10"/>
        <color theme="1"/>
        <rFont val="Calibri"/>
        <family val="2"/>
        <scheme val="minor"/>
      </rPr>
      <t xml:space="preserve"> would be 2.</t>
    </r>
  </si>
  <si>
    <t>5.)</t>
  </si>
  <si>
    <t>Fill out all fields for each type of device that is to be included on the invoice.</t>
  </si>
  <si>
    <r>
      <t xml:space="preserve">If </t>
    </r>
    <r>
      <rPr>
        <b/>
        <sz val="10"/>
        <color theme="1"/>
        <rFont val="Calibri"/>
        <family val="2"/>
        <scheme val="minor"/>
      </rPr>
      <t xml:space="preserve">Services </t>
    </r>
    <r>
      <rPr>
        <sz val="10"/>
        <color theme="1"/>
        <rFont val="Calibri"/>
        <family val="2"/>
        <scheme val="minor"/>
      </rPr>
      <t xml:space="preserve">or </t>
    </r>
    <r>
      <rPr>
        <b/>
        <sz val="10"/>
        <color theme="1"/>
        <rFont val="Calibri"/>
        <family val="2"/>
        <scheme val="minor"/>
      </rPr>
      <t>Services and Equipment</t>
    </r>
    <r>
      <rPr>
        <sz val="10"/>
        <color theme="1"/>
        <rFont val="Calibri"/>
        <family val="2"/>
        <scheme val="minor"/>
      </rPr>
      <t xml:space="preserve"> were selected on the Invoice Details tab, the</t>
    </r>
    <r>
      <rPr>
        <b/>
        <sz val="10"/>
        <color theme="1"/>
        <rFont val="Calibri"/>
        <family val="2"/>
        <scheme val="minor"/>
      </rPr>
      <t xml:space="preserve"> Voice</t>
    </r>
    <r>
      <rPr>
        <sz val="10"/>
        <color theme="1"/>
        <rFont val="Calibri"/>
        <family val="2"/>
        <scheme val="minor"/>
      </rPr>
      <t xml:space="preserve"> and </t>
    </r>
    <r>
      <rPr>
        <b/>
        <sz val="10"/>
        <color theme="1"/>
        <rFont val="Calibri"/>
        <family val="2"/>
        <scheme val="minor"/>
      </rPr>
      <t>Data</t>
    </r>
    <r>
      <rPr>
        <sz val="10"/>
        <color theme="1"/>
        <rFont val="Calibri"/>
        <family val="2"/>
        <scheme val="minor"/>
      </rPr>
      <t xml:space="preserve"> tabs will appear.</t>
    </r>
  </si>
  <si>
    <t>Voice Tab:</t>
  </si>
  <si>
    <r>
      <t>Number of Voice Plans</t>
    </r>
    <r>
      <rPr>
        <sz val="10"/>
        <color theme="1"/>
        <rFont val="Calibri"/>
        <family val="2"/>
        <scheme val="minor"/>
      </rPr>
      <t xml:space="preserve"> refers to the total number of </t>
    </r>
    <r>
      <rPr>
        <i/>
        <sz val="10"/>
        <color theme="1"/>
        <rFont val="Calibri"/>
        <family val="2"/>
        <scheme val="minor"/>
      </rPr>
      <t>different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rate plans that are being invoiced;</t>
    </r>
  </si>
  <si>
    <r>
      <t>Number of Lines</t>
    </r>
    <r>
      <rPr>
        <sz val="10"/>
        <color theme="1"/>
        <rFont val="Calibri"/>
        <family val="2"/>
        <scheme val="minor"/>
      </rPr>
      <t xml:space="preserve"> refers to the total number of lines on each plan</t>
    </r>
  </si>
  <si>
    <r>
      <t xml:space="preserve">the </t>
    </r>
    <r>
      <rPr>
        <b/>
        <sz val="10"/>
        <color theme="1"/>
        <rFont val="Calibri"/>
        <family val="2"/>
        <scheme val="minor"/>
      </rPr>
      <t>Number of Voice Plans</t>
    </r>
    <r>
      <rPr>
        <sz val="10"/>
        <color theme="1"/>
        <rFont val="Calibri"/>
        <family val="2"/>
        <scheme val="minor"/>
      </rPr>
      <t xml:space="preserve"> would be 2,</t>
    </r>
  </si>
  <si>
    <t>6.)</t>
  </si>
  <si>
    <r>
      <t xml:space="preserve">If no GSM lines are being invoiced, select 0 in the </t>
    </r>
    <r>
      <rPr>
        <b/>
        <sz val="10"/>
        <color theme="1"/>
        <rFont val="Calibri"/>
        <family val="2"/>
        <scheme val="minor"/>
      </rPr>
      <t>Number of Voice Plans</t>
    </r>
    <r>
      <rPr>
        <sz val="10"/>
        <color theme="1"/>
        <rFont val="Calibri"/>
        <family val="2"/>
        <scheme val="minor"/>
      </rPr>
      <t xml:space="preserve"> drop-down and skip to the </t>
    </r>
    <r>
      <rPr>
        <b/>
        <sz val="10"/>
        <color theme="1"/>
        <rFont val="Calibri"/>
        <family val="2"/>
        <scheme val="minor"/>
      </rPr>
      <t>Data</t>
    </r>
    <r>
      <rPr>
        <sz val="10"/>
        <color theme="1"/>
        <rFont val="Calibri"/>
        <family val="2"/>
        <scheme val="minor"/>
      </rPr>
      <t xml:space="preserve"> tab</t>
    </r>
  </si>
  <si>
    <t>7.)</t>
  </si>
  <si>
    <r>
      <t xml:space="preserve">If no taxes are to be included, enter "0" in the </t>
    </r>
    <r>
      <rPr>
        <b/>
        <sz val="10"/>
        <color theme="1"/>
        <rFont val="Calibri"/>
        <family val="2"/>
        <scheme val="minor"/>
      </rPr>
      <t>Monthly Taxes/Fees per line</t>
    </r>
    <r>
      <rPr>
        <sz val="10"/>
        <color theme="1"/>
        <rFont val="Calibri"/>
        <family val="2"/>
        <scheme val="minor"/>
      </rPr>
      <t xml:space="preserve"> field</t>
    </r>
  </si>
  <si>
    <t>8.)</t>
  </si>
  <si>
    <t>If the customer is not tax-exempt, pull the taxes per line from the first month's bill after it has generated</t>
  </si>
  <si>
    <t>Data Tab:</t>
  </si>
  <si>
    <r>
      <rPr>
        <b/>
        <sz val="10"/>
        <color theme="1"/>
        <rFont val="Calibri"/>
        <family val="2"/>
        <scheme val="minor"/>
      </rPr>
      <t>Number of Data Plans</t>
    </r>
    <r>
      <rPr>
        <sz val="10"/>
        <color theme="1"/>
        <rFont val="Calibri"/>
        <family val="2"/>
        <scheme val="minor"/>
      </rPr>
      <t xml:space="preserve"> refers to the total number of </t>
    </r>
    <r>
      <rPr>
        <i/>
        <sz val="10"/>
        <color theme="1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rate plans that are being invoiced;</t>
    </r>
  </si>
  <si>
    <r>
      <rPr>
        <b/>
        <sz val="10"/>
        <color theme="1"/>
        <rFont val="Calibri"/>
        <family val="2"/>
        <scheme val="minor"/>
      </rPr>
      <t>Number of Lines</t>
    </r>
    <r>
      <rPr>
        <sz val="10"/>
        <color theme="1"/>
        <rFont val="Calibri"/>
        <family val="2"/>
        <scheme val="minor"/>
      </rPr>
      <t xml:space="preserve"> refers to the total number of lines on each plan</t>
    </r>
  </si>
  <si>
    <t>9.)</t>
  </si>
  <si>
    <r>
      <t xml:space="preserve">If no MI lines are being invoiced, select 0 in the </t>
    </r>
    <r>
      <rPr>
        <b/>
        <sz val="10"/>
        <color theme="1"/>
        <rFont val="Calibri"/>
        <family val="2"/>
        <scheme val="minor"/>
      </rPr>
      <t>Number of Data Plans</t>
    </r>
    <r>
      <rPr>
        <sz val="10"/>
        <color theme="1"/>
        <rFont val="Calibri"/>
        <family val="2"/>
        <scheme val="minor"/>
      </rPr>
      <t xml:space="preserve"> drop-down and skip to the next step</t>
    </r>
  </si>
  <si>
    <t>10.)</t>
  </si>
  <si>
    <r>
      <t xml:space="preserve">Return to the Control tab, ensure all fields have been filled in and click </t>
    </r>
    <r>
      <rPr>
        <b/>
        <sz val="10"/>
        <color theme="1"/>
        <rFont val="Calibri"/>
        <family val="2"/>
        <scheme val="minor"/>
      </rPr>
      <t>Start</t>
    </r>
    <r>
      <rPr>
        <sz val="10"/>
        <color theme="1"/>
        <rFont val="Calibri"/>
        <family val="2"/>
        <scheme val="minor"/>
      </rPr>
      <t>.</t>
    </r>
  </si>
  <si>
    <t>The macro could take a few minutes to run; do not force-close.</t>
  </si>
  <si>
    <t>11.)</t>
  </si>
  <si>
    <t>Save the PDF in your folder and email to the customer/AE via the original Salesforce case.</t>
  </si>
  <si>
    <t>An email will be generated via outlook; this will send the required information and a copy of the invoice to leadership.</t>
  </si>
  <si>
    <t>12.)</t>
  </si>
  <si>
    <r>
      <t xml:space="preserve">Review the email for accuracy and click </t>
    </r>
    <r>
      <rPr>
        <b/>
        <sz val="10"/>
        <color theme="1"/>
        <rFont val="Calibri"/>
        <family val="2"/>
        <scheme val="minor"/>
      </rPr>
      <t>Send</t>
    </r>
    <r>
      <rPr>
        <sz val="10"/>
        <color theme="1"/>
        <rFont val="Calibri"/>
        <family val="2"/>
        <scheme val="minor"/>
      </rPr>
      <t>.</t>
    </r>
  </si>
  <si>
    <t>example@company.com</t>
  </si>
  <si>
    <t>Company USA</t>
  </si>
  <si>
    <t>[Company] Invoice for Wireless Services</t>
  </si>
  <si>
    <t>123 Address Ave.</t>
  </si>
  <si>
    <t>City, State</t>
  </si>
  <si>
    <t>XXXXX-XXXX</t>
  </si>
  <si>
    <t>Tax ID: XX-XXXXXXX</t>
  </si>
  <si>
    <t>DUNS: XXXXXXXXX</t>
  </si>
  <si>
    <t>Customer Service Number: 1-800-555-5555</t>
  </si>
  <si>
    <t>Company</t>
  </si>
  <si>
    <t>PO Box XXXXXX</t>
  </si>
  <si>
    <t>City, State Zip</t>
  </si>
  <si>
    <t xml:space="preserve">for example, if 30 lines are on [Rate Plan 1] and 40 lines are on [Rate Plan 2], </t>
  </si>
  <si>
    <r>
      <t xml:space="preserve">but the </t>
    </r>
    <r>
      <rPr>
        <b/>
        <sz val="10"/>
        <color theme="1"/>
        <rFont val="Calibri"/>
        <family val="2"/>
        <scheme val="minor"/>
      </rPr>
      <t xml:space="preserve">Number of Lines </t>
    </r>
    <r>
      <rPr>
        <sz val="10"/>
        <color theme="1"/>
        <rFont val="Calibri"/>
        <family val="2"/>
        <scheme val="minor"/>
      </rPr>
      <t>would be 30 in the [Rate Plan 1] section and 40 in the [Rate Plan 2] section.</t>
    </r>
  </si>
  <si>
    <t xml:space="preserve">for example, if 30 lines are on [Rate Plan 3] and 40 lines are on [Rate Plan 4], </t>
  </si>
  <si>
    <r>
      <t xml:space="preserve">but the </t>
    </r>
    <r>
      <rPr>
        <b/>
        <sz val="10"/>
        <color theme="1"/>
        <rFont val="Calibri"/>
        <family val="2"/>
        <scheme val="minor"/>
      </rPr>
      <t xml:space="preserve">Number of Lines </t>
    </r>
    <r>
      <rPr>
        <sz val="10"/>
        <color theme="1"/>
        <rFont val="Calibri"/>
        <family val="2"/>
        <scheme val="minor"/>
      </rPr>
      <t>would be 30 in the [Rate Plan 3] section and 40 in the [Rate Plan 4] section.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</si>
</sst>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mm\-dd\-yyyy"/>
    <numFmt numFmtId="165" formatCode="&quot;$&quot;#,##0.00"/>
    <numFmt numFmtId="166" formatCode="[$-10409]&quot;$&quot;0.00;\(&quot;$&quot;0.00\)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22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0"/>
      <color rgb="FFE20074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000000"/>
      <name val="Arial"/>
      <family val="2"/>
    </font>
    <font>
      <sz val="16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13" fillId="0" borderId="0" applyNumberFormat="0" applyFill="0" applyBorder="0" applyAlignment="0" applyProtection="0"/>
    <xf numFmtId="44" fontId="17" fillId="0" borderId="0" applyFont="0" applyFill="0" applyBorder="0" applyAlignment="0" applyProtection="0"/>
  </cellStyleXfs>
  <cellXfs count="239">
    <xf numFmtId="0" fontId="0" fillId="0" borderId="0" xfId="0"/>
    <xf numFmtId="0" fontId="2" fillId="2" borderId="0" xfId="1" applyFont="1" applyFill="1" applyAlignment="1">
      <alignment horizontal="center" vertical="center"/>
    </xf>
    <xf numFmtId="0" fontId="0" fillId="3" borderId="0" xfId="0" applyFill="1"/>
    <xf numFmtId="0" fontId="4" fillId="2" borderId="3" xfId="0" applyFont="1" applyFill="1" applyBorder="1"/>
    <xf numFmtId="0" fontId="2" fillId="2" borderId="4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1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center" vertical="center"/>
    </xf>
    <xf numFmtId="0" fontId="4" fillId="2" borderId="8" xfId="1" applyFont="1" applyFill="1" applyBorder="1" applyAlignment="1">
      <alignment horizontal="center" vertical="center"/>
    </xf>
    <xf numFmtId="0" fontId="4" fillId="2" borderId="9" xfId="0" applyFont="1" applyFill="1" applyBorder="1"/>
    <xf numFmtId="0" fontId="4" fillId="2" borderId="10" xfId="0" applyFont="1" applyFill="1" applyBorder="1"/>
    <xf numFmtId="0" fontId="4" fillId="2" borderId="11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2" fillId="2" borderId="11" xfId="1" applyFont="1" applyFill="1" applyBorder="1" applyAlignment="1">
      <alignment vertical="center"/>
    </xf>
    <xf numFmtId="0" fontId="4" fillId="2" borderId="0" xfId="0" applyFont="1" applyFill="1"/>
    <xf numFmtId="0" fontId="2" fillId="2" borderId="13" xfId="1" applyFont="1" applyFill="1" applyBorder="1" applyAlignment="1">
      <alignment vertical="center"/>
    </xf>
    <xf numFmtId="0" fontId="5" fillId="2" borderId="0" xfId="1" applyFont="1" applyFill="1" applyAlignment="1">
      <alignment horizontal="right" vertical="center"/>
    </xf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4" fillId="5" borderId="11" xfId="0" applyFont="1" applyFill="1" applyBorder="1"/>
    <xf numFmtId="0" fontId="4" fillId="5" borderId="0" xfId="0" applyFont="1" applyFill="1"/>
    <xf numFmtId="0" fontId="4" fillId="5" borderId="13" xfId="0" applyFont="1" applyFill="1" applyBorder="1"/>
    <xf numFmtId="0" fontId="4" fillId="5" borderId="11" xfId="0" applyFont="1" applyFill="1" applyBorder="1" applyAlignment="1">
      <alignment vertical="top"/>
    </xf>
    <xf numFmtId="0" fontId="4" fillId="2" borderId="18" xfId="1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/>
    </xf>
    <xf numFmtId="0" fontId="4" fillId="2" borderId="20" xfId="1" applyFont="1" applyFill="1" applyBorder="1" applyAlignment="1">
      <alignment horizontal="center" vertical="center"/>
    </xf>
    <xf numFmtId="0" fontId="4" fillId="5" borderId="0" xfId="0" applyFont="1" applyFill="1" applyAlignment="1">
      <alignment vertical="top"/>
    </xf>
    <xf numFmtId="0" fontId="4" fillId="5" borderId="21" xfId="0" applyFont="1" applyFill="1" applyBorder="1" applyAlignment="1">
      <alignment vertical="top"/>
    </xf>
    <xf numFmtId="0" fontId="4" fillId="5" borderId="22" xfId="0" applyFont="1" applyFill="1" applyBorder="1" applyAlignment="1">
      <alignment vertical="top"/>
    </xf>
    <xf numFmtId="0" fontId="4" fillId="5" borderId="23" xfId="0" applyFont="1" applyFill="1" applyBorder="1" applyAlignment="1">
      <alignment vertical="top"/>
    </xf>
    <xf numFmtId="0" fontId="4" fillId="2" borderId="21" xfId="1" applyFont="1" applyFill="1" applyBorder="1" applyAlignment="1">
      <alignment horizontal="center" vertical="center"/>
    </xf>
    <xf numFmtId="0" fontId="4" fillId="2" borderId="22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6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8" fillId="3" borderId="0" xfId="0" applyFont="1" applyFill="1"/>
    <xf numFmtId="0" fontId="9" fillId="5" borderId="24" xfId="0" applyFont="1" applyFill="1" applyBorder="1"/>
    <xf numFmtId="0" fontId="9" fillId="5" borderId="25" xfId="0" applyFont="1" applyFill="1" applyBorder="1"/>
    <xf numFmtId="0" fontId="4" fillId="5" borderId="25" xfId="0" applyFont="1" applyFill="1" applyBorder="1"/>
    <xf numFmtId="0" fontId="4" fillId="5" borderId="26" xfId="0" applyFont="1" applyFill="1" applyBorder="1"/>
    <xf numFmtId="0" fontId="4" fillId="3" borderId="0" xfId="0" applyFont="1" applyFill="1"/>
    <xf numFmtId="0" fontId="10" fillId="5" borderId="28" xfId="0" applyFont="1" applyFill="1" applyBorder="1" applyAlignment="1">
      <alignment horizontal="center" vertical="center" wrapText="1" readingOrder="1"/>
    </xf>
    <xf numFmtId="166" fontId="10" fillId="5" borderId="29" xfId="0" applyNumberFormat="1" applyFont="1" applyFill="1" applyBorder="1" applyAlignment="1">
      <alignment horizontal="center" vertical="center" wrapText="1" readingOrder="1"/>
    </xf>
    <xf numFmtId="0" fontId="4" fillId="0" borderId="0" xfId="0" applyFont="1"/>
    <xf numFmtId="0" fontId="4" fillId="0" borderId="0" xfId="0" applyFont="1" applyAlignment="1">
      <alignment horizontal="left" wrapText="1"/>
    </xf>
    <xf numFmtId="14" fontId="4" fillId="0" borderId="0" xfId="0" applyNumberFormat="1" applyFont="1"/>
    <xf numFmtId="164" fontId="4" fillId="0" borderId="0" xfId="0" applyNumberFormat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5" fontId="4" fillId="7" borderId="32" xfId="0" applyNumberFormat="1" applyFont="1" applyFill="1" applyBorder="1"/>
    <xf numFmtId="0" fontId="4" fillId="7" borderId="32" xfId="0" applyFont="1" applyFill="1" applyBorder="1"/>
    <xf numFmtId="0" fontId="4" fillId="8" borderId="0" xfId="0" applyFont="1" applyFill="1"/>
    <xf numFmtId="0" fontId="12" fillId="8" borderId="0" xfId="0" applyFont="1" applyFill="1"/>
    <xf numFmtId="0" fontId="12" fillId="8" borderId="0" xfId="0" applyFont="1" applyFill="1" applyAlignment="1">
      <alignment horizontal="right"/>
    </xf>
    <xf numFmtId="165" fontId="4" fillId="8" borderId="33" xfId="0" applyNumberFormat="1" applyFont="1" applyFill="1" applyBorder="1"/>
    <xf numFmtId="165" fontId="4" fillId="8" borderId="34" xfId="0" applyNumberFormat="1" applyFont="1" applyFill="1" applyBorder="1"/>
    <xf numFmtId="0" fontId="4" fillId="8" borderId="35" xfId="0" applyFont="1" applyFill="1" applyBorder="1"/>
    <xf numFmtId="165" fontId="4" fillId="7" borderId="37" xfId="0" applyNumberFormat="1" applyFont="1" applyFill="1" applyBorder="1"/>
    <xf numFmtId="0" fontId="4" fillId="7" borderId="37" xfId="0" applyFont="1" applyFill="1" applyBorder="1"/>
    <xf numFmtId="165" fontId="4" fillId="7" borderId="38" xfId="0" applyNumberFormat="1" applyFont="1" applyFill="1" applyBorder="1"/>
    <xf numFmtId="0" fontId="4" fillId="7" borderId="38" xfId="0" applyFont="1" applyFill="1" applyBorder="1"/>
    <xf numFmtId="165" fontId="4" fillId="8" borderId="39" xfId="0" applyNumberFormat="1" applyFont="1" applyFill="1" applyBorder="1"/>
    <xf numFmtId="0" fontId="4" fillId="8" borderId="40" xfId="0" applyFont="1" applyFill="1" applyBorder="1"/>
    <xf numFmtId="165" fontId="4" fillId="7" borderId="32" xfId="0" applyNumberFormat="1" applyFont="1" applyFill="1" applyBorder="1" applyAlignment="1">
      <alignment horizontal="right"/>
    </xf>
    <xf numFmtId="165" fontId="4" fillId="7" borderId="41" xfId="0" applyNumberFormat="1" applyFont="1" applyFill="1" applyBorder="1"/>
    <xf numFmtId="0" fontId="4" fillId="7" borderId="42" xfId="0" applyFont="1" applyFill="1" applyBorder="1"/>
    <xf numFmtId="165" fontId="4" fillId="7" borderId="43" xfId="0" applyNumberFormat="1" applyFont="1" applyFill="1" applyBorder="1"/>
    <xf numFmtId="165" fontId="4" fillId="7" borderId="44" xfId="0" applyNumberFormat="1" applyFont="1" applyFill="1" applyBorder="1"/>
    <xf numFmtId="0" fontId="4" fillId="7" borderId="45" xfId="0" applyFont="1" applyFill="1" applyBorder="1"/>
    <xf numFmtId="0" fontId="4" fillId="5" borderId="0" xfId="0" applyFont="1" applyFill="1" applyBorder="1"/>
    <xf numFmtId="0" fontId="4" fillId="5" borderId="0" xfId="0" applyFont="1" applyFill="1" applyBorder="1" applyAlignment="1">
      <alignment vertical="top"/>
    </xf>
    <xf numFmtId="0" fontId="2" fillId="2" borderId="0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4" fillId="2" borderId="8" xfId="0" applyFont="1" applyFill="1" applyBorder="1"/>
    <xf numFmtId="0" fontId="2" fillId="2" borderId="11" xfId="1" applyFont="1" applyFill="1" applyBorder="1" applyAlignment="1">
      <alignment horizontal="center" vertical="center"/>
    </xf>
    <xf numFmtId="0" fontId="4" fillId="2" borderId="13" xfId="0" applyFont="1" applyFill="1" applyBorder="1"/>
    <xf numFmtId="0" fontId="2" fillId="2" borderId="22" xfId="1" applyFont="1" applyFill="1" applyBorder="1" applyAlignment="1">
      <alignment horizontal="center" vertical="center"/>
    </xf>
    <xf numFmtId="0" fontId="4" fillId="5" borderId="22" xfId="0" applyFont="1" applyFill="1" applyBorder="1"/>
    <xf numFmtId="0" fontId="4" fillId="5" borderId="23" xfId="0" applyFont="1" applyFill="1" applyBorder="1"/>
    <xf numFmtId="0" fontId="4" fillId="5" borderId="14" xfId="0" applyFont="1" applyFill="1" applyBorder="1" applyAlignment="1">
      <alignment horizontal="center"/>
    </xf>
    <xf numFmtId="0" fontId="2" fillId="5" borderId="59" xfId="0" applyFont="1" applyFill="1" applyBorder="1" applyAlignment="1">
      <alignment horizontal="center"/>
    </xf>
    <xf numFmtId="0" fontId="4" fillId="5" borderId="14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center" vertical="center" wrapText="1"/>
    </xf>
    <xf numFmtId="0" fontId="0" fillId="5" borderId="14" xfId="0" applyFill="1" applyBorder="1" applyAlignment="1">
      <alignment horizontal="center" vertical="center" wrapText="1"/>
    </xf>
    <xf numFmtId="165" fontId="0" fillId="5" borderId="14" xfId="0" applyNumberFormat="1" applyFill="1" applyBorder="1" applyAlignment="1">
      <alignment horizontal="center" vertical="center" wrapText="1"/>
    </xf>
    <xf numFmtId="0" fontId="0" fillId="5" borderId="27" xfId="0" applyFill="1" applyBorder="1" applyAlignment="1">
      <alignment horizontal="center" vertical="center" wrapText="1"/>
    </xf>
    <xf numFmtId="164" fontId="0" fillId="5" borderId="14" xfId="0" applyNumberFormat="1" applyFill="1" applyBorder="1" applyAlignment="1">
      <alignment horizontal="center" vertical="center" wrapText="1"/>
    </xf>
    <xf numFmtId="165" fontId="0" fillId="5" borderId="27" xfId="0" applyNumberFormat="1" applyFill="1" applyBorder="1" applyAlignment="1">
      <alignment horizontal="center" vertical="center" wrapText="1"/>
    </xf>
    <xf numFmtId="0" fontId="0" fillId="5" borderId="47" xfId="0" applyNumberForma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46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165" fontId="4" fillId="7" borderId="39" xfId="0" applyNumberFormat="1" applyFont="1" applyFill="1" applyBorder="1"/>
    <xf numFmtId="0" fontId="4" fillId="8" borderId="34" xfId="0" applyNumberFormat="1" applyFont="1" applyFill="1" applyBorder="1"/>
    <xf numFmtId="165" fontId="4" fillId="7" borderId="37" xfId="0" applyNumberFormat="1" applyFont="1" applyFill="1" applyBorder="1" applyAlignment="1">
      <alignment horizontal="right"/>
    </xf>
    <xf numFmtId="0" fontId="4" fillId="7" borderId="38" xfId="0" applyFont="1" applyFill="1" applyBorder="1" applyAlignment="1">
      <alignment horizontal="right"/>
    </xf>
    <xf numFmtId="0" fontId="4" fillId="7" borderId="60" xfId="0" applyFont="1" applyFill="1" applyBorder="1"/>
    <xf numFmtId="165" fontId="4" fillId="7" borderId="60" xfId="0" applyNumberFormat="1" applyFont="1" applyFill="1" applyBorder="1" applyAlignment="1">
      <alignment horizontal="right"/>
    </xf>
    <xf numFmtId="165" fontId="4" fillId="7" borderId="60" xfId="0" applyNumberFormat="1" applyFont="1" applyFill="1" applyBorder="1"/>
    <xf numFmtId="165" fontId="4" fillId="7" borderId="33" xfId="0" applyNumberFormat="1" applyFont="1" applyFill="1" applyBorder="1"/>
    <xf numFmtId="0" fontId="4" fillId="7" borderId="61" xfId="0" applyFont="1" applyFill="1" applyBorder="1"/>
    <xf numFmtId="165" fontId="4" fillId="7" borderId="33" xfId="0" applyNumberFormat="1" applyFont="1" applyFill="1" applyBorder="1" applyAlignment="1">
      <alignment horizontal="right"/>
    </xf>
    <xf numFmtId="0" fontId="4" fillId="7" borderId="33" xfId="0" applyFont="1" applyFill="1" applyBorder="1"/>
    <xf numFmtId="165" fontId="4" fillId="7" borderId="62" xfId="0" applyNumberFormat="1" applyFont="1" applyFill="1" applyBorder="1"/>
    <xf numFmtId="0" fontId="4" fillId="7" borderId="43" xfId="0" applyFont="1" applyFill="1" applyBorder="1"/>
    <xf numFmtId="165" fontId="4" fillId="7" borderId="38" xfId="0" applyNumberFormat="1" applyFont="1" applyFill="1" applyBorder="1" applyAlignment="1">
      <alignment horizontal="right"/>
    </xf>
    <xf numFmtId="0" fontId="4" fillId="7" borderId="63" xfId="0" applyFont="1" applyFill="1" applyBorder="1"/>
    <xf numFmtId="165" fontId="4" fillId="7" borderId="63" xfId="0" applyNumberFormat="1" applyFont="1" applyFill="1" applyBorder="1" applyAlignment="1">
      <alignment horizontal="right"/>
    </xf>
    <xf numFmtId="0" fontId="4" fillId="7" borderId="62" xfId="0" applyFont="1" applyFill="1" applyBorder="1"/>
    <xf numFmtId="165" fontId="4" fillId="7" borderId="62" xfId="0" applyNumberFormat="1" applyFont="1" applyFill="1" applyBorder="1" applyAlignment="1">
      <alignment horizontal="right"/>
    </xf>
    <xf numFmtId="165" fontId="4" fillId="7" borderId="43" xfId="0" applyNumberFormat="1" applyFont="1" applyFill="1" applyBorder="1" applyAlignment="1">
      <alignment horizontal="right"/>
    </xf>
    <xf numFmtId="0" fontId="4" fillId="7" borderId="39" xfId="0" applyFont="1" applyFill="1" applyBorder="1"/>
    <xf numFmtId="165" fontId="4" fillId="7" borderId="39" xfId="0" applyNumberFormat="1" applyFont="1" applyFill="1" applyBorder="1" applyAlignment="1">
      <alignment horizontal="right"/>
    </xf>
    <xf numFmtId="0" fontId="2" fillId="5" borderId="53" xfId="0" applyFont="1" applyFill="1" applyBorder="1" applyAlignment="1">
      <alignment horizontal="center"/>
    </xf>
    <xf numFmtId="0" fontId="2" fillId="5" borderId="51" xfId="0" applyFont="1" applyFill="1" applyBorder="1" applyAlignment="1">
      <alignment horizontal="center"/>
    </xf>
    <xf numFmtId="0" fontId="2" fillId="5" borderId="48" xfId="0" applyFont="1" applyFill="1" applyBorder="1" applyAlignment="1">
      <alignment horizontal="center" vertical="center" wrapText="1"/>
    </xf>
    <xf numFmtId="0" fontId="2" fillId="5" borderId="51" xfId="0" applyFont="1" applyFill="1" applyBorder="1" applyAlignment="1">
      <alignment horizontal="center" vertical="center" wrapText="1"/>
    </xf>
    <xf numFmtId="0" fontId="2" fillId="5" borderId="53" xfId="0" applyFont="1" applyFill="1" applyBorder="1" applyAlignment="1">
      <alignment horizontal="center" vertical="center" wrapText="1"/>
    </xf>
    <xf numFmtId="0" fontId="2" fillId="5" borderId="48" xfId="0" applyFont="1" applyFill="1" applyBorder="1" applyAlignment="1">
      <alignment horizontal="center" vertical="center"/>
    </xf>
    <xf numFmtId="0" fontId="2" fillId="5" borderId="51" xfId="0" applyFont="1" applyFill="1" applyBorder="1" applyAlignment="1">
      <alignment horizontal="center" vertical="center"/>
    </xf>
    <xf numFmtId="0" fontId="2" fillId="5" borderId="5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Continuous"/>
    </xf>
    <xf numFmtId="0" fontId="0" fillId="5" borderId="64" xfId="0" applyFill="1" applyBorder="1" applyAlignment="1">
      <alignment horizontal="center" vertical="center"/>
    </xf>
    <xf numFmtId="0" fontId="2" fillId="5" borderId="65" xfId="0" applyFont="1" applyFill="1" applyBorder="1" applyAlignment="1">
      <alignment horizontal="center"/>
    </xf>
    <xf numFmtId="0" fontId="2" fillId="5" borderId="68" xfId="0" applyFont="1" applyFill="1" applyBorder="1" applyAlignment="1">
      <alignment horizontal="center"/>
    </xf>
    <xf numFmtId="0" fontId="2" fillId="5" borderId="70" xfId="0" applyFont="1" applyFill="1" applyBorder="1" applyAlignment="1">
      <alignment horizontal="center"/>
    </xf>
    <xf numFmtId="0" fontId="2" fillId="5" borderId="70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2" fillId="5" borderId="51" xfId="0" applyFont="1" applyFill="1" applyBorder="1" applyAlignment="1">
      <alignment horizontal="center"/>
    </xf>
    <xf numFmtId="0" fontId="2" fillId="5" borderId="49" xfId="0" applyFont="1" applyFill="1" applyBorder="1" applyAlignment="1">
      <alignment horizontal="center"/>
    </xf>
    <xf numFmtId="0" fontId="2" fillId="5" borderId="48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2" fillId="5" borderId="51" xfId="0" applyFont="1" applyFill="1" applyBorder="1" applyAlignment="1">
      <alignment horizontal="center"/>
    </xf>
    <xf numFmtId="0" fontId="0" fillId="5" borderId="6" xfId="0" applyFill="1" applyBorder="1"/>
    <xf numFmtId="0" fontId="0" fillId="5" borderId="11" xfId="0" applyFill="1" applyBorder="1"/>
    <xf numFmtId="0" fontId="0" fillId="5" borderId="7" xfId="0" applyFill="1" applyBorder="1"/>
    <xf numFmtId="0" fontId="0" fillId="5" borderId="22" xfId="0" applyFill="1" applyBorder="1"/>
    <xf numFmtId="0" fontId="0" fillId="5" borderId="8" xfId="0" applyFill="1" applyBorder="1"/>
    <xf numFmtId="0" fontId="4" fillId="9" borderId="15" xfId="1" applyFont="1" applyFill="1" applyBorder="1" applyAlignment="1">
      <alignment horizontal="center" vertical="center"/>
    </xf>
    <xf numFmtId="0" fontId="4" fillId="9" borderId="16" xfId="1" applyFont="1" applyFill="1" applyBorder="1" applyAlignment="1">
      <alignment horizontal="center" vertical="center"/>
    </xf>
    <xf numFmtId="0" fontId="4" fillId="9" borderId="17" xfId="1" applyFont="1" applyFill="1" applyBorder="1" applyAlignment="1">
      <alignment horizontal="center" vertical="center"/>
    </xf>
    <xf numFmtId="0" fontId="0" fillId="9" borderId="50" xfId="0" applyFill="1" applyBorder="1" applyAlignment="1">
      <alignment horizontal="center" vertical="center"/>
    </xf>
    <xf numFmtId="0" fontId="0" fillId="9" borderId="52" xfId="0" applyFill="1" applyBorder="1" applyAlignment="1">
      <alignment horizontal="center" vertical="center"/>
    </xf>
    <xf numFmtId="0" fontId="0" fillId="9" borderId="55" xfId="0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top"/>
    </xf>
    <xf numFmtId="0" fontId="4" fillId="9" borderId="54" xfId="0" applyFont="1" applyFill="1" applyBorder="1" applyAlignment="1">
      <alignment horizontal="center" vertical="top"/>
    </xf>
    <xf numFmtId="0" fontId="0" fillId="10" borderId="52" xfId="0" applyFill="1" applyBorder="1" applyAlignment="1">
      <alignment horizontal="center" vertical="center" wrapText="1"/>
    </xf>
    <xf numFmtId="164" fontId="0" fillId="10" borderId="55" xfId="0" applyNumberFormat="1" applyFill="1" applyBorder="1" applyAlignment="1">
      <alignment horizontal="center" vertical="center" wrapText="1"/>
    </xf>
    <xf numFmtId="165" fontId="0" fillId="10" borderId="55" xfId="0" applyNumberFormat="1" applyFill="1" applyBorder="1" applyAlignment="1">
      <alignment horizontal="center" vertical="center" wrapText="1"/>
    </xf>
    <xf numFmtId="165" fontId="0" fillId="10" borderId="52" xfId="0" applyNumberFormat="1" applyFill="1" applyBorder="1" applyAlignment="1">
      <alignment horizontal="center" vertical="center"/>
    </xf>
    <xf numFmtId="165" fontId="0" fillId="10" borderId="55" xfId="0" applyNumberFormat="1" applyFill="1" applyBorder="1" applyAlignment="1">
      <alignment horizontal="center" vertical="center"/>
    </xf>
    <xf numFmtId="0" fontId="0" fillId="9" borderId="50" xfId="0" applyFill="1" applyBorder="1" applyAlignment="1">
      <alignment horizontal="center" vertical="center" wrapText="1"/>
    </xf>
    <xf numFmtId="0" fontId="0" fillId="9" borderId="52" xfId="0" applyFill="1" applyBorder="1" applyAlignment="1">
      <alignment horizontal="center" vertical="center" wrapText="1"/>
    </xf>
    <xf numFmtId="164" fontId="0" fillId="9" borderId="52" xfId="0" applyNumberFormat="1" applyFill="1" applyBorder="1" applyAlignment="1">
      <alignment horizontal="center" vertical="center" wrapText="1"/>
    </xf>
    <xf numFmtId="165" fontId="0" fillId="9" borderId="52" xfId="0" applyNumberFormat="1" applyFill="1" applyBorder="1" applyAlignment="1">
      <alignment horizontal="center" vertical="center"/>
    </xf>
    <xf numFmtId="165" fontId="0" fillId="9" borderId="52" xfId="0" applyNumberFormat="1" applyFill="1" applyBorder="1" applyAlignment="1">
      <alignment horizontal="center" vertical="center" wrapText="1"/>
    </xf>
    <xf numFmtId="165" fontId="0" fillId="9" borderId="55" xfId="0" applyNumberFormat="1" applyFill="1" applyBorder="1" applyAlignment="1">
      <alignment horizontal="center" vertical="center" wrapText="1"/>
    </xf>
    <xf numFmtId="0" fontId="0" fillId="9" borderId="71" xfId="0" applyNumberFormat="1" applyFill="1" applyBorder="1" applyAlignment="1">
      <alignment horizontal="center" vertical="center" wrapText="1"/>
    </xf>
    <xf numFmtId="0" fontId="0" fillId="9" borderId="64" xfId="0" applyFill="1" applyBorder="1" applyAlignment="1">
      <alignment horizontal="center" vertical="center"/>
    </xf>
    <xf numFmtId="0" fontId="0" fillId="9" borderId="66" xfId="0" applyFill="1" applyBorder="1" applyAlignment="1">
      <alignment horizontal="center" vertical="center"/>
    </xf>
    <xf numFmtId="165" fontId="0" fillId="9" borderId="67" xfId="0" applyNumberFormat="1" applyFill="1" applyBorder="1" applyAlignment="1">
      <alignment horizontal="center" vertical="center"/>
    </xf>
    <xf numFmtId="0" fontId="0" fillId="9" borderId="69" xfId="0" applyNumberForma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 wrapText="1"/>
    </xf>
    <xf numFmtId="164" fontId="0" fillId="5" borderId="0" xfId="0" applyNumberFormat="1" applyFill="1" applyBorder="1" applyAlignment="1">
      <alignment horizontal="center" vertical="center" wrapText="1"/>
    </xf>
    <xf numFmtId="164" fontId="0" fillId="10" borderId="52" xfId="0" applyNumberFormat="1" applyFill="1" applyBorder="1" applyAlignment="1">
      <alignment horizontal="center" vertical="center" wrapText="1"/>
    </xf>
    <xf numFmtId="0" fontId="14" fillId="5" borderId="0" xfId="0" applyFont="1" applyFill="1"/>
    <xf numFmtId="0" fontId="2" fillId="5" borderId="0" xfId="0" applyFont="1" applyFill="1" applyAlignment="1">
      <alignment horizontal="right" vertical="center"/>
    </xf>
    <xf numFmtId="0" fontId="2" fillId="5" borderId="0" xfId="0" applyFont="1" applyFill="1"/>
    <xf numFmtId="165" fontId="0" fillId="9" borderId="52" xfId="3" applyNumberFormat="1" applyFont="1" applyFill="1" applyBorder="1" applyAlignment="1">
      <alignment horizontal="center" vertical="center" wrapText="1"/>
    </xf>
    <xf numFmtId="0" fontId="0" fillId="9" borderId="52" xfId="0" applyNumberFormat="1" applyFill="1" applyBorder="1" applyAlignment="1">
      <alignment horizontal="center" vertical="center" wrapText="1"/>
    </xf>
    <xf numFmtId="0" fontId="4" fillId="8" borderId="0" xfId="0" applyNumberFormat="1" applyFont="1" applyFill="1"/>
    <xf numFmtId="165" fontId="18" fillId="11" borderId="71" xfId="0" applyNumberFormat="1" applyFont="1" applyFill="1" applyBorder="1" applyAlignment="1">
      <alignment horizontal="center" vertical="center"/>
    </xf>
    <xf numFmtId="165" fontId="18" fillId="11" borderId="71" xfId="0" applyNumberFormat="1" applyFont="1" applyFill="1" applyBorder="1" applyAlignment="1">
      <alignment horizontal="center" vertical="center" wrapText="1"/>
    </xf>
    <xf numFmtId="165" fontId="18" fillId="11" borderId="50" xfId="0" applyNumberFormat="1" applyFont="1" applyFill="1" applyBorder="1" applyAlignment="1">
      <alignment horizontal="center" vertical="center" wrapText="1"/>
    </xf>
    <xf numFmtId="165" fontId="18" fillId="11" borderId="52" xfId="0" applyNumberFormat="1" applyFont="1" applyFill="1" applyBorder="1" applyAlignment="1">
      <alignment horizontal="center" vertical="center" wrapText="1"/>
    </xf>
    <xf numFmtId="165" fontId="18" fillId="11" borderId="55" xfId="0" applyNumberFormat="1" applyFont="1" applyFill="1" applyBorder="1" applyAlignment="1">
      <alignment horizontal="center" vertical="center" wrapText="1"/>
    </xf>
    <xf numFmtId="7" fontId="18" fillId="11" borderId="50" xfId="0" applyNumberFormat="1" applyFont="1" applyFill="1" applyBorder="1" applyAlignment="1">
      <alignment horizontal="center" vertical="center"/>
    </xf>
    <xf numFmtId="165" fontId="18" fillId="11" borderId="52" xfId="0" applyNumberFormat="1" applyFont="1" applyFill="1" applyBorder="1" applyAlignment="1">
      <alignment horizontal="center" vertical="center"/>
    </xf>
    <xf numFmtId="165" fontId="18" fillId="11" borderId="55" xfId="0" applyNumberFormat="1" applyFont="1" applyFill="1" applyBorder="1" applyAlignment="1">
      <alignment horizontal="center" vertical="center"/>
    </xf>
    <xf numFmtId="0" fontId="8" fillId="12" borderId="6" xfId="0" applyFont="1" applyFill="1" applyBorder="1"/>
    <xf numFmtId="0" fontId="8" fillId="12" borderId="7" xfId="0" applyFont="1" applyFill="1" applyBorder="1"/>
    <xf numFmtId="0" fontId="8" fillId="12" borderId="8" xfId="0" applyFont="1" applyFill="1" applyBorder="1"/>
    <xf numFmtId="0" fontId="8" fillId="12" borderId="21" xfId="0" applyFont="1" applyFill="1" applyBorder="1"/>
    <xf numFmtId="0" fontId="8" fillId="12" borderId="22" xfId="0" applyFont="1" applyFill="1" applyBorder="1"/>
    <xf numFmtId="0" fontId="8" fillId="12" borderId="23" xfId="0" applyFont="1" applyFill="1" applyBorder="1"/>
    <xf numFmtId="0" fontId="8" fillId="12" borderId="11" xfId="0" applyFont="1" applyFill="1" applyBorder="1"/>
    <xf numFmtId="0" fontId="8" fillId="12" borderId="13" xfId="0" applyFont="1" applyFill="1" applyBorder="1"/>
    <xf numFmtId="0" fontId="4" fillId="0" borderId="31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12" fillId="8" borderId="0" xfId="0" applyFont="1" applyFill="1" applyAlignment="1">
      <alignment horizontal="right"/>
    </xf>
    <xf numFmtId="0" fontId="4" fillId="0" borderId="36" xfId="0" applyFont="1" applyBorder="1" applyAlignment="1">
      <alignment horizontal="left"/>
    </xf>
    <xf numFmtId="0" fontId="12" fillId="0" borderId="0" xfId="0" applyFont="1" applyAlignment="1">
      <alignment horizontal="right" wrapText="1"/>
    </xf>
    <xf numFmtId="0" fontId="4" fillId="0" borderId="30" xfId="0" applyFont="1" applyBorder="1" applyAlignment="1">
      <alignment horizontal="left"/>
    </xf>
    <xf numFmtId="0" fontId="11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left"/>
    </xf>
    <xf numFmtId="0" fontId="4" fillId="0" borderId="31" xfId="0" applyFont="1" applyBorder="1" applyAlignment="1">
      <alignment horizontal="left" wrapText="1"/>
    </xf>
    <xf numFmtId="0" fontId="3" fillId="4" borderId="1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13" fillId="9" borderId="12" xfId="2" applyFill="1" applyBorder="1" applyAlignment="1">
      <alignment horizontal="center" vertical="top"/>
    </xf>
    <xf numFmtId="0" fontId="4" fillId="9" borderId="12" xfId="0" applyFont="1" applyFill="1" applyBorder="1" applyAlignment="1">
      <alignment horizontal="center" vertical="top"/>
    </xf>
    <xf numFmtId="0" fontId="4" fillId="9" borderId="56" xfId="0" applyFont="1" applyFill="1" applyBorder="1" applyAlignment="1">
      <alignment horizontal="center" vertical="top"/>
    </xf>
    <xf numFmtId="0" fontId="4" fillId="9" borderId="57" xfId="0" applyFont="1" applyFill="1" applyBorder="1" applyAlignment="1">
      <alignment horizontal="center" vertical="top"/>
    </xf>
    <xf numFmtId="0" fontId="4" fillId="9" borderId="58" xfId="0" applyFont="1" applyFill="1" applyBorder="1" applyAlignment="1">
      <alignment horizontal="center" vertical="top"/>
    </xf>
    <xf numFmtId="0" fontId="2" fillId="5" borderId="49" xfId="0" applyFont="1" applyFill="1" applyBorder="1" applyAlignment="1">
      <alignment horizontal="center"/>
    </xf>
    <xf numFmtId="0" fontId="2" fillId="5" borderId="50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56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 vertical="top"/>
    </xf>
    <xf numFmtId="0" fontId="4" fillId="5" borderId="56" xfId="0" applyFont="1" applyFill="1" applyBorder="1" applyAlignment="1">
      <alignment horizontal="center" vertical="top"/>
    </xf>
    <xf numFmtId="0" fontId="3" fillId="4" borderId="0" xfId="1" applyFont="1" applyFill="1" applyBorder="1" applyAlignment="1">
      <alignment horizontal="center" vertical="center"/>
    </xf>
    <xf numFmtId="0" fontId="3" fillId="4" borderId="0" xfId="1" applyFont="1" applyFill="1" applyAlignment="1">
      <alignment horizontal="center" vertical="center"/>
    </xf>
    <xf numFmtId="0" fontId="2" fillId="5" borderId="48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2" fillId="5" borderId="54" xfId="0" applyFont="1" applyFill="1" applyBorder="1" applyAlignment="1">
      <alignment horizontal="center"/>
    </xf>
    <xf numFmtId="0" fontId="2" fillId="5" borderId="51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24" xfId="1" applyFont="1" applyFill="1" applyBorder="1" applyAlignment="1">
      <alignment horizontal="center" vertical="center"/>
    </xf>
    <xf numFmtId="0" fontId="3" fillId="4" borderId="26" xfId="1" applyFont="1" applyFill="1" applyBorder="1" applyAlignment="1">
      <alignment horizontal="center" vertical="center"/>
    </xf>
    <xf numFmtId="0" fontId="2" fillId="5" borderId="51" xfId="1" applyFont="1" applyFill="1" applyBorder="1" applyAlignment="1">
      <alignment horizontal="center" vertical="center"/>
    </xf>
    <xf numFmtId="0" fontId="2" fillId="5" borderId="52" xfId="1" applyFont="1" applyFill="1" applyBorder="1" applyAlignment="1">
      <alignment horizontal="center" vertical="center"/>
    </xf>
    <xf numFmtId="0" fontId="2" fillId="5" borderId="70" xfId="1" applyFont="1" applyFill="1" applyBorder="1" applyAlignment="1">
      <alignment horizontal="center" vertical="center"/>
    </xf>
    <xf numFmtId="0" fontId="2" fillId="5" borderId="71" xfId="1" applyFont="1" applyFill="1" applyBorder="1" applyAlignment="1">
      <alignment horizontal="center" vertical="center"/>
    </xf>
    <xf numFmtId="0" fontId="2" fillId="5" borderId="48" xfId="1" applyFont="1" applyFill="1" applyBorder="1" applyAlignment="1">
      <alignment horizontal="center" vertical="center"/>
    </xf>
    <xf numFmtId="0" fontId="2" fillId="5" borderId="50" xfId="1" applyFont="1" applyFill="1" applyBorder="1" applyAlignment="1">
      <alignment horizontal="center" vertical="center"/>
    </xf>
  </cellXfs>
  <cellStyles count="4">
    <cellStyle name="Currency" xfId="3" builtinId="4"/>
    <cellStyle name="Hyperlink" xfId="2" builtinId="8"/>
    <cellStyle name="Normal" xfId="0" builtinId="0"/>
    <cellStyle name="Normal 6" xfId="1" xr:uid="{E6BA17AF-05A9-4364-ACAC-3244F6F6AA6E}"/>
  </cellStyles>
  <dxfs count="0"/>
  <tableStyles count="0" defaultTableStyle="TableStyleMedium2" defaultPivotStyle="PivotStyleLight16"/>
  <colors>
    <mruColors>
      <color rgb="FFFF99FF"/>
      <color rgb="FFFFFF99"/>
      <color rgb="FFE20071"/>
      <color rgb="FF40404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27</xdr:row>
          <xdr:rowOff>180975</xdr:rowOff>
        </xdr:from>
        <xdr:to>
          <xdr:col>2</xdr:col>
          <xdr:colOff>1019175</xdr:colOff>
          <xdr:row>31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219076</xdr:colOff>
      <xdr:row>0</xdr:row>
      <xdr:rowOff>171449</xdr:rowOff>
    </xdr:from>
    <xdr:to>
      <xdr:col>4</xdr:col>
      <xdr:colOff>1543051</xdr:colOff>
      <xdr:row>5</xdr:row>
      <xdr:rowOff>104774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1" y="171449"/>
          <a:ext cx="2571750" cy="904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BFAD-49EF-4222-B192-D65708E768D3}">
  <sheetPr codeName="Sheet2"/>
  <dimension ref="A2:F80"/>
  <sheetViews>
    <sheetView tabSelected="1" view="pageLayout" zoomScaleNormal="100" workbookViewId="0">
      <selection activeCell="A2" sqref="A2:F2"/>
    </sheetView>
  </sheetViews>
  <sheetFormatPr defaultRowHeight="12.75" x14ac:dyDescent="0.2"/>
  <cols>
    <col min="1" max="1" width="21.5703125" style="49" customWidth="1"/>
    <col min="2" max="2" width="24.28515625" style="49" customWidth="1"/>
    <col min="3" max="3" width="14" style="49" customWidth="1"/>
    <col min="4" max="4" width="11.140625" style="49" customWidth="1"/>
    <col min="5" max="5" width="5.140625" style="49" bestFit="1" customWidth="1"/>
    <col min="6" max="6" width="13.85546875" style="49" customWidth="1"/>
    <col min="7" max="16384" width="9.140625" style="49"/>
  </cols>
  <sheetData>
    <row r="2" spans="1:6" ht="30" customHeight="1" x14ac:dyDescent="0.2">
      <c r="A2" s="204" t="s">
        <v>356</v>
      </c>
      <c r="B2" s="204"/>
      <c r="C2" s="204"/>
      <c r="D2" s="204"/>
      <c r="E2" s="204"/>
      <c r="F2" s="204"/>
    </row>
    <row r="4" spans="1:6" ht="15" x14ac:dyDescent="0.25">
      <c r="A4" s="205" t="s">
        <v>27</v>
      </c>
      <c r="B4" s="205"/>
      <c r="C4" s="205" t="s">
        <v>28</v>
      </c>
      <c r="D4" s="205"/>
      <c r="E4" s="205"/>
      <c r="F4" s="205"/>
    </row>
    <row r="5" spans="1:6" x14ac:dyDescent="0.2">
      <c r="A5" s="49" t="s">
        <v>355</v>
      </c>
      <c r="B5" s="49" t="s">
        <v>29</v>
      </c>
      <c r="C5" s="206" t="str">
        <f>IF(IFERROR(VLOOKUP("BAN Name",Control!C:E,3,0),"Review")="","Review",VLOOKUP("BAN Name",Control!C:E,3,0))</f>
        <v>Review</v>
      </c>
      <c r="D5" s="206"/>
      <c r="E5" s="50"/>
    </row>
    <row r="6" spans="1:6" x14ac:dyDescent="0.2">
      <c r="A6" s="49" t="s">
        <v>357</v>
      </c>
      <c r="B6" s="49" t="s">
        <v>363</v>
      </c>
      <c r="C6" s="49" t="str">
        <f>IF(IFERROR(VLOOKUP("Attn / AU Name",Control!C:E,3,0),"Review")="","",VLOOKUP("Attn / AU Name",Control!C:E,3,0))</f>
        <v/>
      </c>
    </row>
    <row r="7" spans="1:6" x14ac:dyDescent="0.2">
      <c r="A7" s="49" t="s">
        <v>358</v>
      </c>
      <c r="B7" s="49" t="s">
        <v>364</v>
      </c>
      <c r="C7" s="49" t="str">
        <f>IF(IFERROR(VLOOKUP("Address Line 1",Control!C:E,3,0),"Review")="","Enter Data on Manual Input Tab",VLOOKUP("Address Line 1",Control!C:E,3,0))</f>
        <v>Enter Data on Manual Input Tab</v>
      </c>
    </row>
    <row r="8" spans="1:6" x14ac:dyDescent="0.2">
      <c r="A8" s="49" t="s">
        <v>359</v>
      </c>
      <c r="B8" s="49" t="s">
        <v>365</v>
      </c>
      <c r="C8" s="49" t="str">
        <f>IF(IFERROR(VLOOKUP("Address Line 2",Control!C:E,3,0),"Review")="","Review",VLOOKUP("Address Line 2",Control!C:E,3,0))</f>
        <v>Review</v>
      </c>
    </row>
    <row r="9" spans="1:6" x14ac:dyDescent="0.2">
      <c r="A9" s="49" t="s">
        <v>360</v>
      </c>
    </row>
    <row r="10" spans="1:6" x14ac:dyDescent="0.2">
      <c r="A10" s="49" t="s">
        <v>361</v>
      </c>
    </row>
    <row r="11" spans="1:6" x14ac:dyDescent="0.2">
      <c r="A11" s="49" t="s">
        <v>362</v>
      </c>
    </row>
    <row r="13" spans="1:6" ht="15" x14ac:dyDescent="0.25">
      <c r="A13" s="205" t="s">
        <v>30</v>
      </c>
      <c r="B13" s="205"/>
      <c r="C13" s="205"/>
      <c r="D13" s="205"/>
      <c r="E13" s="205"/>
      <c r="F13" s="205"/>
    </row>
    <row r="14" spans="1:6" x14ac:dyDescent="0.2">
      <c r="A14" s="51" t="s">
        <v>31</v>
      </c>
      <c r="B14" s="52">
        <f ca="1">IF(IFERROR(VLOOKUP("Invoice Date",'Invoice Details'!C:D,2,0),"Review")="","Review",VLOOKUP("Invoice Date",'Invoice Details'!C:D,2,0))</f>
        <v>44668</v>
      </c>
    </row>
    <row r="15" spans="1:6" x14ac:dyDescent="0.2">
      <c r="A15" s="51" t="s">
        <v>32</v>
      </c>
      <c r="B15" s="53" t="str">
        <f ca="1">IFERROR(VLOOKUP("Account Number",Control!C:E,3,0)&amp;TEXT(TODAY(),"yyyymmdd"),"Review")</f>
        <v>20220417</v>
      </c>
    </row>
    <row r="16" spans="1:6" x14ac:dyDescent="0.2">
      <c r="A16" s="49" t="s">
        <v>33</v>
      </c>
      <c r="B16" s="54" t="str">
        <f>IF(IFERROR(VLOOKUP("Account Number",Control!C:E,3,0),"Review")="","Review",VLOOKUP("Account Number",Control!C:E,3,0))</f>
        <v>Review</v>
      </c>
    </row>
    <row r="17" spans="1:6" x14ac:dyDescent="0.2">
      <c r="A17" s="49" t="s">
        <v>34</v>
      </c>
      <c r="B17" s="49" t="str">
        <f>IF(IFERROR(VLOOKUP("Purchase Order Number",'Invoice Details'!C:D,2,0),"Review")="","",VLOOKUP("Purchase Order Number",'Invoice Details'!C:D,2,0))</f>
        <v/>
      </c>
    </row>
    <row r="19" spans="1:6" ht="15" x14ac:dyDescent="0.25">
      <c r="A19" s="205" t="s">
        <v>35</v>
      </c>
      <c r="B19" s="205"/>
      <c r="C19" s="205"/>
      <c r="D19" s="205"/>
      <c r="E19" s="205"/>
      <c r="F19" s="205"/>
    </row>
    <row r="20" spans="1:6" ht="15" customHeight="1" x14ac:dyDescent="0.2">
      <c r="A20" s="49" t="str">
        <f>_xlfn.CONCAT("Start Date: ",TEXT(VLOOKUP("Period of Performance Start Date",'Invoice Details'!C:D,2,0),"MM-DD-YYYY"))</f>
        <v>Start Date: 01-00-1900</v>
      </c>
      <c r="D20" s="198" t="str">
        <f>_xlfn.CONCAT("End Date: ",TEXT(VLOOKUP("Period of Performance End Date",'Invoice Details'!C:D,2,0),"MM-DD-YYYY"))</f>
        <v>End Date: 01-00-1900</v>
      </c>
      <c r="E20" s="198"/>
      <c r="F20" s="198"/>
    </row>
    <row r="21" spans="1:6" ht="31.5" customHeight="1" x14ac:dyDescent="0.2">
      <c r="A21" s="204" t="s">
        <v>36</v>
      </c>
      <c r="B21" s="204"/>
      <c r="C21" s="204"/>
      <c r="D21" s="204"/>
      <c r="E21" s="204"/>
      <c r="F21" s="204"/>
    </row>
    <row r="22" spans="1:6" ht="15" customHeight="1" x14ac:dyDescent="0.2">
      <c r="D22" s="55" t="s">
        <v>37</v>
      </c>
      <c r="E22" s="55" t="s">
        <v>38</v>
      </c>
      <c r="F22" s="55" t="s">
        <v>39</v>
      </c>
    </row>
    <row r="24" spans="1:6" x14ac:dyDescent="0.2">
      <c r="A24" s="203" t="s">
        <v>40</v>
      </c>
      <c r="B24" s="203"/>
      <c r="C24" s="203"/>
      <c r="D24" s="203"/>
      <c r="E24" s="203"/>
      <c r="F24" s="203"/>
    </row>
    <row r="25" spans="1:6" hidden="1" x14ac:dyDescent="0.2">
      <c r="A25" s="199"/>
      <c r="B25" s="199"/>
      <c r="C25" s="199"/>
      <c r="D25" s="56"/>
      <c r="E25" s="57"/>
      <c r="F25" s="70"/>
    </row>
    <row r="26" spans="1:6" x14ac:dyDescent="0.2">
      <c r="A26" s="58"/>
      <c r="B26" s="59"/>
      <c r="C26" s="60" t="s">
        <v>41</v>
      </c>
      <c r="D26" s="61">
        <v>0</v>
      </c>
      <c r="E26" s="62"/>
      <c r="F26" s="63"/>
    </row>
    <row r="28" spans="1:6" x14ac:dyDescent="0.2">
      <c r="A28" s="203" t="s">
        <v>42</v>
      </c>
      <c r="B28" s="203"/>
      <c r="C28" s="203"/>
      <c r="D28" s="203"/>
      <c r="E28" s="203"/>
      <c r="F28" s="203"/>
    </row>
    <row r="29" spans="1:6" hidden="1" x14ac:dyDescent="0.2">
      <c r="A29" s="199">
        <f>IFERROR(VLOOKUP("GSM1 Description",Voice!C:E,3,0),"Review")</f>
        <v>0</v>
      </c>
      <c r="B29" s="199"/>
      <c r="C29" s="199"/>
      <c r="D29" s="108">
        <f>IFERROR(VLOOKUP("GSM1 BPT",Voice!C:E,3,0),"Review")</f>
        <v>0</v>
      </c>
      <c r="E29" s="106">
        <f>IFERROR(VLOOKUP("GSM1 Quantity",Voice!C:E,3,0),"Enter Data")</f>
        <v>0</v>
      </c>
      <c r="F29" s="107" t="str">
        <f>IFERROR(_xlfn.CONCAT(DOLLAR(VLOOKUP("GSM1 Cost",Voice!C:E,3,0),2)," per line"),"Review")</f>
        <v>$0.00 per line</v>
      </c>
    </row>
    <row r="30" spans="1:6" hidden="1" x14ac:dyDescent="0.2">
      <c r="A30" s="199">
        <f>IFERROR(VLOOKUP("GSM2 Description",Voice!C:E,3,0),"Review")</f>
        <v>0</v>
      </c>
      <c r="B30" s="199"/>
      <c r="C30" s="199"/>
      <c r="D30" s="109">
        <f>IFERROR(VLOOKUP("GSM2 BPT",Voice!C:E,3,0),"Review")</f>
        <v>0</v>
      </c>
      <c r="E30" s="110">
        <f>IFERROR(VLOOKUP("GSM2 Quantity",Voice!C:E,3,0),"Enter Data")</f>
        <v>0</v>
      </c>
      <c r="F30" s="111" t="str">
        <f>IFERROR(_xlfn.CONCAT(DOLLAR(VLOOKUP("GSM2 Cost",Voice!C:E,3,0),2)," per line"),"Review")</f>
        <v>$0.00 per line</v>
      </c>
    </row>
    <row r="31" spans="1:6" hidden="1" x14ac:dyDescent="0.2">
      <c r="A31" s="199">
        <f>IFERROR(VLOOKUP("GSM3 Description",Voice!C:E,3,0),"Review")</f>
        <v>0</v>
      </c>
      <c r="B31" s="199"/>
      <c r="C31" s="199"/>
      <c r="D31" s="73">
        <f>IFERROR(VLOOKUP("GSM3 BPT",Voice!C:E,3,0),"Review")</f>
        <v>0</v>
      </c>
      <c r="E31" s="114">
        <f>IFERROR(VLOOKUP("GSM3 Quantity",Voice!C:E,3,0),"Enter Data")</f>
        <v>0</v>
      </c>
      <c r="F31" s="115" t="str">
        <f>IFERROR(_xlfn.CONCAT(DOLLAR(VLOOKUP("GSM3 Cost",Voice!C:E,3,0),2)," per line"),"Review")</f>
        <v>$0.00 per line</v>
      </c>
    </row>
    <row r="32" spans="1:6" hidden="1" x14ac:dyDescent="0.2">
      <c r="A32" s="199">
        <f>IFERROR(VLOOKUP("GSM4 Description",Voice!C:E,3,0),"Review")</f>
        <v>0</v>
      </c>
      <c r="B32" s="199"/>
      <c r="C32" s="199"/>
      <c r="D32" s="102">
        <f>IFERROR(VLOOKUP("GSM4 BPT",Voice!C:E,3,0),"Review")</f>
        <v>0</v>
      </c>
      <c r="E32" s="116">
        <f>IFERROR(VLOOKUP("GSM4 Quantity",Voice!C:E,3,0),"Enter Data")</f>
        <v>0</v>
      </c>
      <c r="F32" s="117" t="str">
        <f>IFERROR(_xlfn.CONCAT(DOLLAR(VLOOKUP("GSM4 Cost",Voice!C:E,3,0),2)," per line"),"Review")</f>
        <v>$0.00 per line</v>
      </c>
    </row>
    <row r="33" spans="1:6" hidden="1" x14ac:dyDescent="0.2">
      <c r="A33" s="199">
        <f>IFERROR(VLOOKUP("GSM5 Description",Voice!C:E,3,0),"Review")</f>
        <v>0</v>
      </c>
      <c r="B33" s="199"/>
      <c r="C33" s="199"/>
      <c r="D33" s="109">
        <f>IFERROR(VLOOKUP("GSM5 BPT",Voice!C:E,3,0),"Review")</f>
        <v>0</v>
      </c>
      <c r="E33" s="112">
        <f>IFERROR(VLOOKUP("GSM5 Quantity",Voice!C:E,3,0),"Enter Data")</f>
        <v>0</v>
      </c>
      <c r="F33" s="111" t="str">
        <f>IFERROR(_xlfn.CONCAT(DOLLAR(VLOOKUP("GSM5 Cost",Voice!C:E,3,0),2)," per line"),"Review")</f>
        <v>$0.00 per line</v>
      </c>
    </row>
    <row r="34" spans="1:6" hidden="1" x14ac:dyDescent="0.2">
      <c r="A34" s="199">
        <f>IFERROR(VLOOKUP("GSM6 Description",Voice!C:E,3,0),"Review")</f>
        <v>0</v>
      </c>
      <c r="B34" s="199"/>
      <c r="C34" s="199"/>
      <c r="D34" s="73">
        <f>IFERROR(VLOOKUP("GSM6 BPT",Voice!C:E,3,0),"Review")</f>
        <v>0</v>
      </c>
      <c r="E34" s="114">
        <f>IFERROR(VLOOKUP("GSM6 Quantity",Voice!C:E,3,0),"Enter Data")</f>
        <v>0</v>
      </c>
      <c r="F34" s="120" t="str">
        <f>IFERROR(_xlfn.CONCAT(DOLLAR(VLOOKUP("GSM6 Cost",Voice!C:E,3,0),2)," per line"),"Review")</f>
        <v>$0.00 per line</v>
      </c>
    </row>
    <row r="35" spans="1:6" hidden="1" x14ac:dyDescent="0.2">
      <c r="A35" s="199">
        <f>IFERROR(VLOOKUP("GSM7 Description",Voice!C:E,3,0),"Review")</f>
        <v>0</v>
      </c>
      <c r="B35" s="199"/>
      <c r="C35" s="199"/>
      <c r="D35" s="73">
        <f>IFERROR(VLOOKUP("GSM7 BPT",Voice!C:E,3,0),"Review")</f>
        <v>0</v>
      </c>
      <c r="E35" s="114">
        <f>IFERROR(VLOOKUP("GSM7 Quantity",Voice!C:E,3,0),"Enter Data")</f>
        <v>0</v>
      </c>
      <c r="F35" s="120" t="str">
        <f>IFERROR(_xlfn.CONCAT(DOLLAR(VLOOKUP("GSM7 Cost",Voice!C:E,3,0),2)," per line"),"Review")</f>
        <v>$0.00 per line</v>
      </c>
    </row>
    <row r="36" spans="1:6" hidden="1" x14ac:dyDescent="0.2">
      <c r="A36" s="199">
        <f>IFERROR(VLOOKUP("GSM8 Description",Voice!C:E,3,0),"Review")</f>
        <v>0</v>
      </c>
      <c r="B36" s="199"/>
      <c r="C36" s="199"/>
      <c r="D36" s="73">
        <f>IFERROR(VLOOKUP("GSM8 BPT",Voice!C:E,3,0),"Review")</f>
        <v>0</v>
      </c>
      <c r="E36" s="114">
        <f>IFERROR(VLOOKUP("GSM8 Quantity",Voice!C:E,3,0),"Enter Data")</f>
        <v>0</v>
      </c>
      <c r="F36" s="120" t="str">
        <f>IFERROR(_xlfn.CONCAT(DOLLAR(VLOOKUP("GSM8 Cost",Voice!C:E,3,0),2)," per line"),"Review")</f>
        <v>$0.00 per line</v>
      </c>
    </row>
    <row r="37" spans="1:6" hidden="1" x14ac:dyDescent="0.2">
      <c r="A37" s="199">
        <f>IFERROR(VLOOKUP("GSM9 Description",Voice!C:E,3,0),"Review")</f>
        <v>0</v>
      </c>
      <c r="B37" s="199"/>
      <c r="C37" s="199"/>
      <c r="D37" s="73">
        <f>IFERROR(VLOOKUP("GSM9 BPT",Voice!C:E,3,0),"Review")</f>
        <v>0</v>
      </c>
      <c r="E37" s="114">
        <f>IFERROR(VLOOKUP("GSM9 Quantity",Voice!C:E,3,0),"Enter Data")</f>
        <v>0</v>
      </c>
      <c r="F37" s="120" t="str">
        <f>IFERROR(_xlfn.CONCAT(DOLLAR(VLOOKUP("GSM9 Cost",Voice!C:E,3,0),2)," per line"),"Review")</f>
        <v>$0.00 per line</v>
      </c>
    </row>
    <row r="38" spans="1:6" hidden="1" x14ac:dyDescent="0.2">
      <c r="A38" s="199">
        <f>IFERROR(VLOOKUP("GSM10 Description",Voice!C:E,3,0),"Review")</f>
        <v>0</v>
      </c>
      <c r="B38" s="199"/>
      <c r="C38" s="199"/>
      <c r="D38" s="113">
        <f>IFERROR(VLOOKUP("GSM10 BPT",Voice!C:E,3,0),"Review")</f>
        <v>0</v>
      </c>
      <c r="E38" s="118">
        <f>IFERROR(VLOOKUP("GSM10 Quantity",Voice!C:E,3,0),"Enter Data")</f>
        <v>0</v>
      </c>
      <c r="F38" s="119" t="str">
        <f>IFERROR(_xlfn.CONCAT(DOLLAR(VLOOKUP("GSM10 Cost",Voice!C:E,3,0),2)," per line"),"Review")</f>
        <v>$0.00 per line</v>
      </c>
    </row>
    <row r="39" spans="1:6" x14ac:dyDescent="0.2">
      <c r="A39" s="58"/>
      <c r="B39" s="59"/>
      <c r="C39" s="60" t="s">
        <v>41</v>
      </c>
      <c r="D39" s="61">
        <f>SUM(D29:D38)</f>
        <v>0</v>
      </c>
      <c r="E39" s="103">
        <f>SUM(E29:E38)</f>
        <v>0</v>
      </c>
      <c r="F39" s="63"/>
    </row>
    <row r="41" spans="1:6" x14ac:dyDescent="0.2">
      <c r="A41" s="203" t="s">
        <v>43</v>
      </c>
      <c r="B41" s="203"/>
      <c r="C41" s="203"/>
      <c r="D41" s="203"/>
      <c r="E41" s="203"/>
      <c r="F41" s="203"/>
    </row>
    <row r="42" spans="1:6" hidden="1" x14ac:dyDescent="0.2">
      <c r="A42" s="199">
        <f>IFERROR(VLOOKUP("MI1 Description",Data!C:E,3,0),"Review")</f>
        <v>0</v>
      </c>
      <c r="B42" s="199"/>
      <c r="C42" s="199"/>
      <c r="D42" s="108">
        <f>IFERROR(VLOOKUP("MI1 BPT",Data!C:E,3,0),"Review")</f>
        <v>0</v>
      </c>
      <c r="E42" s="106">
        <f>IFERROR(VLOOKUP("MI1 Quantity",Data!C:E,3,0),"Enter Data")</f>
        <v>0</v>
      </c>
      <c r="F42" s="107" t="str">
        <f>IFERROR(_xlfn.CONCAT(DOLLAR(VLOOKUP("MI1 Cost",Data!C:E,3,0),2)," per line"),"Review")</f>
        <v>$0.00 per line</v>
      </c>
    </row>
    <row r="43" spans="1:6" hidden="1" x14ac:dyDescent="0.2">
      <c r="A43" s="199">
        <f>IFERROR(VLOOKUP("MI2 Description",Data!C:E,3,0),"Review")</f>
        <v>0</v>
      </c>
      <c r="B43" s="199"/>
      <c r="C43" s="199"/>
      <c r="D43" s="73">
        <f>IFERROR(VLOOKUP("MI2 BPT",Data!C:E,3,0),"Review")</f>
        <v>0</v>
      </c>
      <c r="E43" s="114">
        <f>IFERROR(VLOOKUP("MI2 Quantity",Data!C:E,3,0),"Enter Data")</f>
        <v>0</v>
      </c>
      <c r="F43" s="120" t="str">
        <f>IFERROR(_xlfn.CONCAT(DOLLAR(VLOOKUP("MI2 Cost",Data!C:E,3,0),2)," per line"),"Review")</f>
        <v>$0.00 per line</v>
      </c>
    </row>
    <row r="44" spans="1:6" hidden="1" x14ac:dyDescent="0.2">
      <c r="A44" s="199">
        <f>IFERROR(VLOOKUP("MI3 Description",Data!C:E,3,0),"Review")</f>
        <v>0</v>
      </c>
      <c r="B44" s="199"/>
      <c r="C44" s="199"/>
      <c r="D44" s="73">
        <f>IFERROR(VLOOKUP("MI3 BPT",Data!C:E,3,0),"Review")</f>
        <v>0</v>
      </c>
      <c r="E44" s="114">
        <f>IFERROR(VLOOKUP("MI3 Quantity",Data!C:E,3,0),"Enter Data")</f>
        <v>0</v>
      </c>
      <c r="F44" s="120" t="str">
        <f>IFERROR(_xlfn.CONCAT(DOLLAR(VLOOKUP("MI3 Cost",Data!C:E,3,0),2)," per line"),"Review")</f>
        <v>$0.00 per line</v>
      </c>
    </row>
    <row r="45" spans="1:6" hidden="1" x14ac:dyDescent="0.2">
      <c r="A45" s="199">
        <f>IFERROR(VLOOKUP("MI4 Description",Data!C:E,3,0),"Review")</f>
        <v>0</v>
      </c>
      <c r="B45" s="199"/>
      <c r="C45" s="199"/>
      <c r="D45" s="73">
        <f>IFERROR(VLOOKUP("MI4 BPT",Data!C:E,3,0),"Review")</f>
        <v>0</v>
      </c>
      <c r="E45" s="114">
        <f>IFERROR(VLOOKUP("MI4 Quantity",Data!C:E,3,0),"Enter Data")</f>
        <v>0</v>
      </c>
      <c r="F45" s="120" t="str">
        <f>IFERROR(_xlfn.CONCAT(DOLLAR(VLOOKUP("MI4 Cost",Data!C:E,3,0),2)," per line"),"Review")</f>
        <v>$0.00 per line</v>
      </c>
    </row>
    <row r="46" spans="1:6" hidden="1" x14ac:dyDescent="0.2">
      <c r="A46" s="199">
        <f>IFERROR(VLOOKUP("MI5 Description",Data!C:E,3,0),"Review")</f>
        <v>0</v>
      </c>
      <c r="B46" s="199"/>
      <c r="C46" s="199"/>
      <c r="D46" s="102">
        <f>IFERROR(VLOOKUP("MI5 BPT",Data!C:E,3,0),"Review")</f>
        <v>0</v>
      </c>
      <c r="E46" s="121">
        <f>IFERROR(VLOOKUP("MI5 Quantity",Data!C:E,3,0),"Enter Data")</f>
        <v>0</v>
      </c>
      <c r="F46" s="122" t="str">
        <f>IFERROR(_xlfn.CONCAT(DOLLAR(VLOOKUP("MI5 Cost",Data!C:E,3,0),2)," per line"),"Review")</f>
        <v>$0.00 per line</v>
      </c>
    </row>
    <row r="47" spans="1:6" hidden="1" x14ac:dyDescent="0.2">
      <c r="A47" s="199">
        <f>IFERROR(VLOOKUP("MI6 Description",Data!C:E,3,0),"Review")</f>
        <v>0</v>
      </c>
      <c r="B47" s="199"/>
      <c r="C47" s="199"/>
      <c r="D47" s="73">
        <f>IFERROR(VLOOKUP("MI6 BPT",Data!C:E,3,0),"Review")</f>
        <v>0</v>
      </c>
      <c r="E47" s="114">
        <f>IFERROR(VLOOKUP("MI6 Quantity",Data!C:E,3,0),"Enter Data")</f>
        <v>0</v>
      </c>
      <c r="F47" s="120" t="str">
        <f>IFERROR(_xlfn.CONCAT(DOLLAR(VLOOKUP("MI6 Cost",Data!C:E,3,0),2)," per line"),"Review")</f>
        <v>$0.00 per line</v>
      </c>
    </row>
    <row r="48" spans="1:6" hidden="1" x14ac:dyDescent="0.2">
      <c r="A48" s="199">
        <f>IFERROR(VLOOKUP("MI7 Description",Data!C:E,3,0),"Review")</f>
        <v>0</v>
      </c>
      <c r="B48" s="199"/>
      <c r="C48" s="199"/>
      <c r="D48" s="73">
        <f>IFERROR(VLOOKUP("MI7 BPT",Data!C:E,3,0),"Review")</f>
        <v>0</v>
      </c>
      <c r="E48" s="114">
        <f>IFERROR(VLOOKUP("MI7 Quantity",Data!C:E,3,0),"Enter Data")</f>
        <v>0</v>
      </c>
      <c r="F48" s="120" t="str">
        <f>IFERROR(_xlfn.CONCAT(DOLLAR(VLOOKUP("MI7 Cost",Data!C:E,3,0),2)," per line"),"Review")</f>
        <v>$0.00 per line</v>
      </c>
    </row>
    <row r="49" spans="1:6" hidden="1" x14ac:dyDescent="0.2">
      <c r="A49" s="199">
        <f>IFERROR(VLOOKUP("MI8 Description",Data!C:E,3,0),"Review")</f>
        <v>0</v>
      </c>
      <c r="B49" s="199"/>
      <c r="C49" s="199"/>
      <c r="D49" s="73">
        <f>IFERROR(VLOOKUP("MI8 BPT",Data!C:E,3,0),"Review")</f>
        <v>0</v>
      </c>
      <c r="E49" s="67">
        <f>IFERROR(VLOOKUP("MI8 Quantity",Data!C:E,3,0),"Enter Data")</f>
        <v>0</v>
      </c>
      <c r="F49" s="120" t="str">
        <f>IFERROR(_xlfn.CONCAT(DOLLAR(VLOOKUP("MI8 Cost",Data!C:E,3,0),2)," per line"),"Review")</f>
        <v>$0.00 per line</v>
      </c>
    </row>
    <row r="50" spans="1:6" hidden="1" x14ac:dyDescent="0.2">
      <c r="A50" s="199">
        <f>IFERROR(VLOOKUP("MI9 Description",Data!C:E,3,0),"Review")</f>
        <v>0</v>
      </c>
      <c r="B50" s="199"/>
      <c r="C50" s="199"/>
      <c r="D50" s="102">
        <f>IFERROR(VLOOKUP("MI9 BPT",Data!C:E,3,0),"Review")</f>
        <v>0</v>
      </c>
      <c r="E50" s="121">
        <f>IFERROR(VLOOKUP("MI9 Quantity",Data!C:E,3,0),"Enter Data")</f>
        <v>0</v>
      </c>
      <c r="F50" s="122" t="str">
        <f>IFERROR(_xlfn.CONCAT(DOLLAR(VLOOKUP("MI9 Cost",Data!C:E,3,0),2)," per line"),"Review")</f>
        <v>$0.00 per line</v>
      </c>
    </row>
    <row r="51" spans="1:6" hidden="1" x14ac:dyDescent="0.2">
      <c r="A51" s="199">
        <f>IFERROR(VLOOKUP("MI10 Description",Data!C:E,3,0),"Review")</f>
        <v>0</v>
      </c>
      <c r="B51" s="199"/>
      <c r="C51" s="199"/>
      <c r="D51" s="73">
        <f>IFERROR(VLOOKUP("MI10 BPT",Data!C:E,3,0),"Review")</f>
        <v>0</v>
      </c>
      <c r="E51" s="114">
        <f>IFERROR(VLOOKUP("MI10 Quantity",Data!C:E,3,0),"Enter Data")</f>
        <v>0</v>
      </c>
      <c r="F51" s="120" t="str">
        <f>IFERROR(_xlfn.CONCAT(DOLLAR(VLOOKUP("MI10 Cost",Data!C:E,3,0),2)," per line"),"Review")</f>
        <v>$0.00 per line</v>
      </c>
    </row>
    <row r="52" spans="1:6" x14ac:dyDescent="0.2">
      <c r="A52" s="58"/>
      <c r="B52" s="59"/>
      <c r="C52" s="60" t="s">
        <v>41</v>
      </c>
      <c r="D52" s="61">
        <f>SUM(D42:D51)</f>
        <v>0</v>
      </c>
      <c r="E52" s="103">
        <f>SUM(E42:E51)</f>
        <v>0</v>
      </c>
      <c r="F52" s="63"/>
    </row>
    <row r="54" spans="1:6" x14ac:dyDescent="0.2">
      <c r="A54" s="201" t="s">
        <v>61</v>
      </c>
      <c r="B54" s="201"/>
      <c r="C54" s="201"/>
      <c r="D54" s="201"/>
      <c r="E54" s="201"/>
      <c r="F54" s="201"/>
    </row>
    <row r="55" spans="1:6" hidden="1" x14ac:dyDescent="0.2">
      <c r="A55" s="199">
        <f>IFERROR(VLOOKUP("DT1",Equipment!C:E,3,0),"Review")</f>
        <v>0</v>
      </c>
      <c r="B55" s="199"/>
      <c r="C55" s="199"/>
      <c r="D55" s="64">
        <f>IFERROR(VLOOKUP("DT1 Total",Equipment!C:E,3,0),"Review")</f>
        <v>0</v>
      </c>
      <c r="E55" s="65">
        <f>IFERROR(VLOOKUP("DT1 Quantity",Equipment!C:E,3,0),"Review")</f>
        <v>0</v>
      </c>
      <c r="F55" s="104" t="str">
        <f>IFERROR(_xlfn.CONCAT(DOLLAR(VLOOKUP("DT1 Cost Per Device",Equipment!C:E,3,0),2)," per device"),"Review")</f>
        <v>$0.00 per device</v>
      </c>
    </row>
    <row r="56" spans="1:6" hidden="1" x14ac:dyDescent="0.2">
      <c r="A56" s="199">
        <f>IFERROR(VLOOKUP("DT2",Equipment!C:E,3,0),"Review")</f>
        <v>0</v>
      </c>
      <c r="B56" s="199"/>
      <c r="C56" s="199"/>
      <c r="D56" s="64">
        <f>IFERROR(VLOOKUP("DT2 Total",Equipment!C:E,3,0),"Review")</f>
        <v>0</v>
      </c>
      <c r="E56" s="65">
        <f>IFERROR(VLOOKUP("DT2 Quantity",Equipment!C:E,3,0),"Review")</f>
        <v>0</v>
      </c>
      <c r="F56" s="104" t="str">
        <f>IFERROR(_xlfn.CONCAT(DOLLAR(VLOOKUP("DT2 Cost Per Device",Equipment!C:E,3,0),2)," per device"),"Review")</f>
        <v>$0.00 per device</v>
      </c>
    </row>
    <row r="57" spans="1:6" hidden="1" x14ac:dyDescent="0.2">
      <c r="A57" s="199">
        <f>IFERROR(VLOOKUP("DT3",Equipment!C:E,3,0),"Review")</f>
        <v>0</v>
      </c>
      <c r="B57" s="199"/>
      <c r="C57" s="199"/>
      <c r="D57" s="64">
        <f>IFERROR(VLOOKUP("DT3 Total",Equipment!C:E,3,0),"Review")</f>
        <v>0</v>
      </c>
      <c r="E57" s="65">
        <f>IFERROR(VLOOKUP("DT3 Quantity",Equipment!C:E,3,0),"Review")</f>
        <v>0</v>
      </c>
      <c r="F57" s="104" t="str">
        <f>IFERROR(_xlfn.CONCAT(DOLLAR(VLOOKUP("DT3 Cost Per Device",Equipment!C:E,3,0),2)," per device"),"Review")</f>
        <v>$0.00 per device</v>
      </c>
    </row>
    <row r="58" spans="1:6" hidden="1" x14ac:dyDescent="0.2">
      <c r="A58" s="199">
        <f>IFERROR(VLOOKUP("DT4",Equipment!C:E,3,0),"Review")</f>
        <v>0</v>
      </c>
      <c r="B58" s="199"/>
      <c r="C58" s="199"/>
      <c r="D58" s="64">
        <f>IFERROR(VLOOKUP("DT4 Total",Equipment!C:E,3,0),"Review")</f>
        <v>0</v>
      </c>
      <c r="E58" s="65">
        <f>IFERROR(VLOOKUP("DT4 Quantity",Equipment!C:E,3,0),"Review")</f>
        <v>0</v>
      </c>
      <c r="F58" s="104" t="str">
        <f>IFERROR(_xlfn.CONCAT(DOLLAR(VLOOKUP("DT4 Cost Per Device",Equipment!C:E,3,0),2)," per device"),"Review")</f>
        <v>$0.00 per device</v>
      </c>
    </row>
    <row r="59" spans="1:6" hidden="1" x14ac:dyDescent="0.2">
      <c r="A59" s="199">
        <f>IFERROR(VLOOKUP("DT5",Equipment!C:E,3,0),"Review")</f>
        <v>0</v>
      </c>
      <c r="B59" s="199"/>
      <c r="C59" s="199"/>
      <c r="D59" s="64">
        <f>IFERROR(VLOOKUP("DT5 Total",Equipment!C:E,3,0),"Review")</f>
        <v>0</v>
      </c>
      <c r="E59" s="65">
        <f>IFERROR(VLOOKUP("DT5 Quantity",Equipment!C:E,3,0),"Review")</f>
        <v>0</v>
      </c>
      <c r="F59" s="104" t="str">
        <f>IFERROR(_xlfn.CONCAT(DOLLAR(VLOOKUP("DT5 Cost Per Device",Equipment!C:E,3,0),2)," per device"),"Review")</f>
        <v>$0.00 per device</v>
      </c>
    </row>
    <row r="60" spans="1:6" hidden="1" x14ac:dyDescent="0.2">
      <c r="A60" s="199">
        <f>IFERROR(VLOOKUP("DT6",Equipment!C:E,3,0),"Review")</f>
        <v>0</v>
      </c>
      <c r="B60" s="199"/>
      <c r="C60" s="199"/>
      <c r="D60" s="64">
        <f>IFERROR(VLOOKUP("DT6 Total",Equipment!C:E,3,0),"Review")</f>
        <v>0</v>
      </c>
      <c r="E60" s="65">
        <f>IFERROR(VLOOKUP("DT6 Quantity",Equipment!C:E,3,0),"Review")</f>
        <v>0</v>
      </c>
      <c r="F60" s="104" t="str">
        <f>IFERROR(_xlfn.CONCAT(DOLLAR(VLOOKUP("DT6 Cost Per Device",Equipment!C:E,3,0),2)," per device"),"Review")</f>
        <v>$0.00 per device</v>
      </c>
    </row>
    <row r="61" spans="1:6" hidden="1" x14ac:dyDescent="0.2">
      <c r="A61" s="199">
        <f>IFERROR(VLOOKUP("DT7",Equipment!C:E,3,0),"Review")</f>
        <v>0</v>
      </c>
      <c r="B61" s="199"/>
      <c r="C61" s="199"/>
      <c r="D61" s="64">
        <f>IFERROR(VLOOKUP("DT7 Total",Equipment!C:E,3,0),"Review")</f>
        <v>0</v>
      </c>
      <c r="E61" s="65">
        <f>IFERROR(VLOOKUP("DT7 Quantity",Equipment!C:E,3,0),"Review")</f>
        <v>0</v>
      </c>
      <c r="F61" s="104" t="str">
        <f>IFERROR(_xlfn.CONCAT(DOLLAR(VLOOKUP("DT7 Cost Per Device",Equipment!C:E,3,0),2)," per device"),"Review")</f>
        <v>$0.00 per device</v>
      </c>
    </row>
    <row r="62" spans="1:6" hidden="1" x14ac:dyDescent="0.2">
      <c r="A62" s="199">
        <f>IFERROR(VLOOKUP("DT8",Equipment!C:E,3,0),"Review")</f>
        <v>0</v>
      </c>
      <c r="B62" s="199"/>
      <c r="C62" s="199"/>
      <c r="D62" s="64">
        <f>IFERROR(VLOOKUP("DT8 Total",Equipment!C:E,3,0),"Review")</f>
        <v>0</v>
      </c>
      <c r="E62" s="65">
        <f>IFERROR(VLOOKUP("DT8 Quantity",Equipment!C:E,3,0),"Review")</f>
        <v>0</v>
      </c>
      <c r="F62" s="104" t="str">
        <f>IFERROR(_xlfn.CONCAT(DOLLAR(VLOOKUP("DT8 Cost Per Device",Equipment!C:E,3,0),2)," per device"),"Review")</f>
        <v>$0.00 per device</v>
      </c>
    </row>
    <row r="63" spans="1:6" hidden="1" x14ac:dyDescent="0.2">
      <c r="A63" s="199">
        <f>IFERROR(VLOOKUP("DT9",Equipment!C:E,3,0),"Review")</f>
        <v>0</v>
      </c>
      <c r="B63" s="199"/>
      <c r="C63" s="199"/>
      <c r="D63" s="64">
        <f>IFERROR(VLOOKUP("DT9 Total",Equipment!C:E,3,0),"Review")</f>
        <v>0</v>
      </c>
      <c r="E63" s="65">
        <f>IFERROR(VLOOKUP("DT9 Quantity",Equipment!C:E,3,0),"Review")</f>
        <v>0</v>
      </c>
      <c r="F63" s="104" t="str">
        <f>IFERROR(_xlfn.CONCAT(DOLLAR(VLOOKUP("DT9 Cost Per Device",Equipment!C:E,3,0),2)," per device"),"Review")</f>
        <v>$0.00 per device</v>
      </c>
    </row>
    <row r="64" spans="1:6" hidden="1" x14ac:dyDescent="0.2">
      <c r="A64" s="199">
        <f>IFERROR(VLOOKUP("DT10",Equipment!C:E,3,0),"Review")</f>
        <v>0</v>
      </c>
      <c r="B64" s="199"/>
      <c r="C64" s="199"/>
      <c r="D64" s="64">
        <f>IFERROR(VLOOKUP("DT10 Total",Equipment!C:E,3,0),"Review")</f>
        <v>0</v>
      </c>
      <c r="E64" s="65">
        <f>IFERROR(VLOOKUP("DT10 Quantity",Equipment!C:E,3,0),"Review")</f>
        <v>0</v>
      </c>
      <c r="F64" s="104" t="str">
        <f>IFERROR(_xlfn.CONCAT(DOLLAR(VLOOKUP("DT10 Cost Per Device",Equipment!C:E,3,0),2)," per device"),"Review")</f>
        <v>$0.00 per device</v>
      </c>
    </row>
    <row r="65" spans="1:6" hidden="1" x14ac:dyDescent="0.2">
      <c r="A65" s="202" t="s">
        <v>16</v>
      </c>
      <c r="B65" s="202"/>
      <c r="C65" s="202"/>
      <c r="D65" s="66">
        <f>IFERROR(VLOOKUP("Handset/Accessory Tax",Equipment!D:E,2,0),"Review")</f>
        <v>0</v>
      </c>
      <c r="E65" s="66"/>
      <c r="F65" s="105"/>
    </row>
    <row r="66" spans="1:6" hidden="1" x14ac:dyDescent="0.2">
      <c r="A66" s="202" t="s">
        <v>44</v>
      </c>
      <c r="B66" s="202"/>
      <c r="C66" s="202"/>
      <c r="D66" s="66">
        <f>IFERROR(VLOOKUP("Freight/Shipping Charges",Equipment!D:E,2,0),"Review")</f>
        <v>0</v>
      </c>
      <c r="E66" s="66"/>
      <c r="F66" s="105"/>
    </row>
    <row r="67" spans="1:6" x14ac:dyDescent="0.2">
      <c r="A67" s="58"/>
      <c r="B67" s="59"/>
      <c r="C67" s="60" t="s">
        <v>41</v>
      </c>
      <c r="D67" s="68">
        <f>SUM(D55:D66)</f>
        <v>0</v>
      </c>
      <c r="E67" s="181">
        <f>SUM(E55:E64)</f>
        <v>0</v>
      </c>
      <c r="F67" s="69"/>
    </row>
    <row r="69" spans="1:6" x14ac:dyDescent="0.2">
      <c r="A69" s="203" t="s">
        <v>45</v>
      </c>
      <c r="B69" s="203"/>
      <c r="C69" s="203"/>
      <c r="D69" s="203"/>
      <c r="E69" s="203"/>
      <c r="F69" s="203"/>
    </row>
    <row r="70" spans="1:6" x14ac:dyDescent="0.2">
      <c r="A70" s="199" t="s">
        <v>54</v>
      </c>
      <c r="B70" s="199"/>
      <c r="C70" s="199"/>
      <c r="D70" s="56">
        <f>IFERROR(VLOOKUP("Total Taxes/Fees for Billing Period",'Invoice Details'!R:S,2,0),"Review")</f>
        <v>0</v>
      </c>
      <c r="E70" s="57"/>
      <c r="F70" s="70"/>
    </row>
    <row r="71" spans="1:6" x14ac:dyDescent="0.2">
      <c r="A71" s="58"/>
      <c r="B71" s="59"/>
      <c r="C71" s="60" t="s">
        <v>41</v>
      </c>
      <c r="D71" s="61">
        <f>SUM(D70)</f>
        <v>0</v>
      </c>
      <c r="E71" s="62"/>
      <c r="F71" s="63"/>
    </row>
    <row r="73" spans="1:6" x14ac:dyDescent="0.2">
      <c r="A73" s="203" t="s">
        <v>46</v>
      </c>
      <c r="B73" s="203"/>
      <c r="C73" s="203"/>
      <c r="D73" s="203"/>
      <c r="E73" s="203"/>
      <c r="F73" s="203"/>
    </row>
    <row r="74" spans="1:6" hidden="1" x14ac:dyDescent="0.2">
      <c r="A74" s="199"/>
      <c r="B74" s="199"/>
      <c r="C74" s="199"/>
      <c r="D74" s="56"/>
      <c r="E74" s="57"/>
      <c r="F74" s="70"/>
    </row>
    <row r="75" spans="1:6" x14ac:dyDescent="0.2">
      <c r="A75" s="58"/>
      <c r="B75" s="59"/>
      <c r="C75" s="60" t="s">
        <v>41</v>
      </c>
      <c r="D75" s="61">
        <f>D74</f>
        <v>0</v>
      </c>
      <c r="E75" s="62"/>
      <c r="F75" s="63"/>
    </row>
    <row r="76" spans="1:6" ht="15" customHeight="1" x14ac:dyDescent="0.2"/>
    <row r="77" spans="1:6" ht="15" customHeight="1" x14ac:dyDescent="0.2">
      <c r="A77" s="203" t="s">
        <v>47</v>
      </c>
      <c r="B77" s="203"/>
      <c r="C77" s="203"/>
      <c r="D77" s="203"/>
      <c r="E77" s="203"/>
      <c r="F77" s="203"/>
    </row>
    <row r="78" spans="1:6" ht="15" customHeight="1" x14ac:dyDescent="0.2">
      <c r="B78" s="199" t="s">
        <v>48</v>
      </c>
      <c r="C78" s="199"/>
      <c r="D78" s="56">
        <f>SUM(D26,D39,D52,D67,D71,D75)</f>
        <v>0</v>
      </c>
      <c r="E78" s="71"/>
      <c r="F78" s="72"/>
    </row>
    <row r="79" spans="1:6" x14ac:dyDescent="0.2">
      <c r="B79" s="199" t="s">
        <v>49</v>
      </c>
      <c r="C79" s="199"/>
      <c r="D79" s="73">
        <f>IFERROR(VLOOKUP("Adjustments Applied",'Invoice Details'!W:X,2,0),"Review")</f>
        <v>0</v>
      </c>
      <c r="E79" s="74"/>
      <c r="F79" s="75"/>
    </row>
    <row r="80" spans="1:6" x14ac:dyDescent="0.2">
      <c r="A80" s="58"/>
      <c r="B80" s="200" t="s">
        <v>50</v>
      </c>
      <c r="C80" s="200"/>
      <c r="D80" s="61">
        <f>D78-D79</f>
        <v>0</v>
      </c>
      <c r="E80" s="62"/>
      <c r="F80" s="63"/>
    </row>
  </sheetData>
  <mergeCells count="53">
    <mergeCell ref="A64:C64"/>
    <mergeCell ref="A57:C57"/>
    <mergeCell ref="A58:C58"/>
    <mergeCell ref="A59:C59"/>
    <mergeCell ref="A60:C60"/>
    <mergeCell ref="A61:C61"/>
    <mergeCell ref="A50:C50"/>
    <mergeCell ref="A51:C51"/>
    <mergeCell ref="A56:C56"/>
    <mergeCell ref="A62:C62"/>
    <mergeCell ref="A63:C63"/>
    <mergeCell ref="A45:C45"/>
    <mergeCell ref="A46:C46"/>
    <mergeCell ref="A47:C47"/>
    <mergeCell ref="A48:C48"/>
    <mergeCell ref="A49:C49"/>
    <mergeCell ref="A32:C32"/>
    <mergeCell ref="A33:C33"/>
    <mergeCell ref="A34:C34"/>
    <mergeCell ref="A43:C43"/>
    <mergeCell ref="A44:C44"/>
    <mergeCell ref="A2:F2"/>
    <mergeCell ref="A21:F21"/>
    <mergeCell ref="A73:F73"/>
    <mergeCell ref="A74:C74"/>
    <mergeCell ref="A77:F77"/>
    <mergeCell ref="A24:F24"/>
    <mergeCell ref="A25:C25"/>
    <mergeCell ref="A28:F28"/>
    <mergeCell ref="A29:C29"/>
    <mergeCell ref="A41:F41"/>
    <mergeCell ref="A42:C42"/>
    <mergeCell ref="A4:B4"/>
    <mergeCell ref="C4:F4"/>
    <mergeCell ref="C5:D5"/>
    <mergeCell ref="A13:F13"/>
    <mergeCell ref="A19:F19"/>
    <mergeCell ref="D20:F20"/>
    <mergeCell ref="B78:C78"/>
    <mergeCell ref="B79:C79"/>
    <mergeCell ref="B80:C80"/>
    <mergeCell ref="A54:F54"/>
    <mergeCell ref="A55:C55"/>
    <mergeCell ref="A65:C65"/>
    <mergeCell ref="A66:C66"/>
    <mergeCell ref="A69:F69"/>
    <mergeCell ref="A70:C70"/>
    <mergeCell ref="A35:C35"/>
    <mergeCell ref="A36:C36"/>
    <mergeCell ref="A37:C37"/>
    <mergeCell ref="A38:C38"/>
    <mergeCell ref="A30:C30"/>
    <mergeCell ref="A31:C3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13CD3-1B9E-43A8-A6B4-9461E08149C8}">
  <sheetPr codeName="Sheet111"/>
  <dimension ref="B1:Q50"/>
  <sheetViews>
    <sheetView workbookViewId="0">
      <selection activeCell="F42" sqref="F42"/>
    </sheetView>
  </sheetViews>
  <sheetFormatPr defaultRowHeight="15" x14ac:dyDescent="0.25"/>
  <cols>
    <col min="1" max="2" width="2.85546875" style="2" customWidth="1"/>
    <col min="3" max="15" width="9.140625" style="2"/>
    <col min="16" max="17" width="2.85546875" style="2" customWidth="1"/>
    <col min="18" max="16384" width="9.140625" style="2"/>
  </cols>
  <sheetData>
    <row r="1" spans="2:17" ht="15.75" thickBot="1" x14ac:dyDescent="0.3"/>
    <row r="2" spans="2:17" x14ac:dyDescent="0.2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</row>
    <row r="3" spans="2:17" x14ac:dyDescent="0.25">
      <c r="B3" s="12"/>
      <c r="C3" s="207" t="s">
        <v>63</v>
      </c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9"/>
      <c r="Q3" s="13"/>
    </row>
    <row r="4" spans="2:17" ht="15.75" thickBot="1" x14ac:dyDescent="0.3">
      <c r="B4" s="17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</row>
    <row r="5" spans="2:17" x14ac:dyDescent="0.25">
      <c r="B5" s="12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3"/>
      <c r="Q5" s="13"/>
    </row>
    <row r="6" spans="2:17" ht="18.75" x14ac:dyDescent="0.3">
      <c r="B6" s="12"/>
      <c r="C6" s="24"/>
      <c r="D6" s="176" t="s">
        <v>308</v>
      </c>
      <c r="E6" s="176"/>
      <c r="F6" s="25"/>
      <c r="G6" s="25"/>
      <c r="H6" s="25"/>
      <c r="I6" s="25"/>
      <c r="J6" s="25"/>
      <c r="K6" s="25"/>
      <c r="L6" s="25"/>
      <c r="M6" s="25"/>
      <c r="N6" s="25"/>
      <c r="O6" s="25"/>
      <c r="P6" s="26"/>
      <c r="Q6" s="13"/>
    </row>
    <row r="7" spans="2:17" x14ac:dyDescent="0.25">
      <c r="B7" s="12"/>
      <c r="C7" s="24"/>
      <c r="D7" s="177" t="s">
        <v>309</v>
      </c>
      <c r="E7" s="25" t="s">
        <v>310</v>
      </c>
      <c r="F7" s="25"/>
      <c r="G7" s="25"/>
      <c r="H7" s="25"/>
      <c r="I7" s="25"/>
      <c r="J7" s="25"/>
      <c r="K7" s="25"/>
      <c r="L7" s="25"/>
      <c r="M7" s="25"/>
      <c r="N7" s="25"/>
      <c r="O7" s="25"/>
      <c r="P7" s="26"/>
      <c r="Q7" s="13"/>
    </row>
    <row r="8" spans="2:17" x14ac:dyDescent="0.25">
      <c r="B8" s="12"/>
      <c r="C8" s="24"/>
      <c r="D8" s="25"/>
      <c r="E8" s="25" t="s">
        <v>311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6"/>
      <c r="Q8" s="13"/>
    </row>
    <row r="9" spans="2:17" x14ac:dyDescent="0.25">
      <c r="B9" s="12"/>
      <c r="C9" s="24"/>
      <c r="D9" s="177" t="s">
        <v>312</v>
      </c>
      <c r="E9" s="25" t="s">
        <v>313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6"/>
      <c r="Q9" s="13"/>
    </row>
    <row r="10" spans="2:17" x14ac:dyDescent="0.25">
      <c r="B10" s="12"/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6"/>
      <c r="Q10" s="13"/>
    </row>
    <row r="11" spans="2:17" ht="18.75" x14ac:dyDescent="0.3">
      <c r="B11" s="12"/>
      <c r="C11" s="24"/>
      <c r="D11" s="176" t="s">
        <v>314</v>
      </c>
      <c r="E11" s="176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6"/>
      <c r="Q11" s="13"/>
    </row>
    <row r="12" spans="2:17" x14ac:dyDescent="0.25">
      <c r="B12" s="12"/>
      <c r="C12" s="24"/>
      <c r="D12" s="177" t="s">
        <v>315</v>
      </c>
      <c r="E12" s="25" t="s">
        <v>316</v>
      </c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6"/>
      <c r="Q12" s="13"/>
    </row>
    <row r="13" spans="2:17" x14ac:dyDescent="0.25">
      <c r="B13" s="12"/>
      <c r="C13" s="24"/>
      <c r="D13" s="25"/>
      <c r="E13" s="25" t="s">
        <v>317</v>
      </c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6"/>
      <c r="Q13" s="13"/>
    </row>
    <row r="14" spans="2:17" x14ac:dyDescent="0.25">
      <c r="B14" s="12"/>
      <c r="C14" s="24"/>
      <c r="D14" s="25"/>
      <c r="E14" s="25" t="s">
        <v>318</v>
      </c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6"/>
      <c r="Q14" s="13"/>
    </row>
    <row r="15" spans="2:17" x14ac:dyDescent="0.25">
      <c r="B15" s="12"/>
      <c r="C15" s="24"/>
      <c r="D15" s="177" t="s">
        <v>319</v>
      </c>
      <c r="E15" s="25" t="s">
        <v>320</v>
      </c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6"/>
      <c r="Q15" s="13"/>
    </row>
    <row r="16" spans="2:17" x14ac:dyDescent="0.25">
      <c r="B16" s="12"/>
      <c r="C16" s="24"/>
      <c r="D16" s="25"/>
      <c r="E16" s="25" t="s">
        <v>321</v>
      </c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6"/>
      <c r="Q16" s="13"/>
    </row>
    <row r="17" spans="2:17" x14ac:dyDescent="0.25">
      <c r="B17" s="12"/>
      <c r="C17" s="24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6"/>
      <c r="Q17" s="13"/>
    </row>
    <row r="18" spans="2:17" ht="18.75" x14ac:dyDescent="0.3">
      <c r="B18" s="12"/>
      <c r="C18" s="24"/>
      <c r="D18" s="176" t="s">
        <v>322</v>
      </c>
      <c r="E18" s="176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6"/>
      <c r="Q18" s="13"/>
    </row>
    <row r="19" spans="2:17" x14ac:dyDescent="0.25">
      <c r="B19" s="12"/>
      <c r="C19" s="24"/>
      <c r="D19" s="25"/>
      <c r="E19" s="178" t="s">
        <v>323</v>
      </c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6"/>
      <c r="Q19" s="13"/>
    </row>
    <row r="20" spans="2:17" x14ac:dyDescent="0.25">
      <c r="B20" s="12"/>
      <c r="C20" s="24"/>
      <c r="D20" s="25"/>
      <c r="E20" s="178" t="s">
        <v>324</v>
      </c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6"/>
      <c r="Q20" s="13"/>
    </row>
    <row r="21" spans="2:17" x14ac:dyDescent="0.25">
      <c r="B21" s="12"/>
      <c r="C21" s="24"/>
      <c r="D21" s="25"/>
      <c r="E21" s="25"/>
      <c r="F21" s="25" t="s">
        <v>325</v>
      </c>
      <c r="G21" s="25"/>
      <c r="H21" s="25"/>
      <c r="I21" s="25"/>
      <c r="J21" s="25"/>
      <c r="K21" s="25"/>
      <c r="L21" s="25"/>
      <c r="M21" s="25"/>
      <c r="N21" s="25"/>
      <c r="O21" s="25"/>
      <c r="P21" s="26"/>
      <c r="Q21" s="13"/>
    </row>
    <row r="22" spans="2:17" x14ac:dyDescent="0.25">
      <c r="B22" s="12"/>
      <c r="C22" s="24"/>
      <c r="D22" s="25"/>
      <c r="E22" s="25"/>
      <c r="F22" s="25" t="s">
        <v>326</v>
      </c>
      <c r="G22" s="25"/>
      <c r="H22" s="25"/>
      <c r="I22" s="25"/>
      <c r="J22" s="25"/>
      <c r="K22" s="25"/>
      <c r="L22" s="25"/>
      <c r="M22" s="25"/>
      <c r="N22" s="25"/>
      <c r="O22" s="25"/>
      <c r="P22" s="26"/>
      <c r="Q22" s="13"/>
    </row>
    <row r="23" spans="2:17" x14ac:dyDescent="0.25">
      <c r="B23" s="12"/>
      <c r="C23" s="24"/>
      <c r="D23" s="25"/>
      <c r="E23" s="25"/>
      <c r="F23" s="25" t="s">
        <v>327</v>
      </c>
      <c r="G23" s="25"/>
      <c r="H23" s="25"/>
      <c r="I23" s="25"/>
      <c r="J23" s="25"/>
      <c r="K23" s="25"/>
      <c r="L23" s="25"/>
      <c r="M23" s="25"/>
      <c r="N23" s="25"/>
      <c r="O23" s="25"/>
      <c r="P23" s="26"/>
      <c r="Q23" s="13"/>
    </row>
    <row r="24" spans="2:17" x14ac:dyDescent="0.25">
      <c r="B24" s="12"/>
      <c r="C24" s="24"/>
      <c r="D24" s="177" t="s">
        <v>328</v>
      </c>
      <c r="E24" s="25" t="s">
        <v>329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6"/>
      <c r="Q24" s="13"/>
    </row>
    <row r="25" spans="2:17" x14ac:dyDescent="0.25">
      <c r="B25" s="12"/>
      <c r="C25" s="24"/>
      <c r="D25" s="25"/>
      <c r="E25" s="25" t="s">
        <v>330</v>
      </c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6"/>
      <c r="Q25" s="13"/>
    </row>
    <row r="26" spans="2:17" x14ac:dyDescent="0.25">
      <c r="B26" s="12"/>
      <c r="C26" s="24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6"/>
      <c r="Q26" s="13"/>
    </row>
    <row r="27" spans="2:17" ht="18.75" x14ac:dyDescent="0.3">
      <c r="B27" s="12"/>
      <c r="C27" s="24"/>
      <c r="D27" s="176" t="s">
        <v>331</v>
      </c>
      <c r="E27" s="176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6"/>
      <c r="Q27" s="13"/>
    </row>
    <row r="28" spans="2:17" x14ac:dyDescent="0.25">
      <c r="B28" s="12"/>
      <c r="C28" s="24"/>
      <c r="D28" s="25"/>
      <c r="E28" s="178" t="s">
        <v>332</v>
      </c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6"/>
      <c r="Q28" s="13"/>
    </row>
    <row r="29" spans="2:17" x14ac:dyDescent="0.25">
      <c r="B29" s="12"/>
      <c r="C29" s="24"/>
      <c r="D29" s="25"/>
      <c r="E29" s="178" t="s">
        <v>333</v>
      </c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6"/>
      <c r="Q29" s="13"/>
    </row>
    <row r="30" spans="2:17" x14ac:dyDescent="0.25">
      <c r="B30" s="12"/>
      <c r="C30" s="24"/>
      <c r="D30" s="25"/>
      <c r="E30" s="25"/>
      <c r="F30" s="25" t="s">
        <v>366</v>
      </c>
      <c r="G30" s="25"/>
      <c r="H30" s="25"/>
      <c r="I30" s="25"/>
      <c r="J30" s="25"/>
      <c r="K30" s="25"/>
      <c r="L30" s="25"/>
      <c r="M30" s="25"/>
      <c r="N30" s="25"/>
      <c r="O30" s="25"/>
      <c r="P30" s="26"/>
      <c r="Q30" s="13"/>
    </row>
    <row r="31" spans="2:17" x14ac:dyDescent="0.25">
      <c r="B31" s="12"/>
      <c r="C31" s="24"/>
      <c r="D31" s="25"/>
      <c r="E31" s="25"/>
      <c r="F31" s="25" t="s">
        <v>334</v>
      </c>
      <c r="G31" s="25"/>
      <c r="H31" s="25"/>
      <c r="I31" s="25"/>
      <c r="J31" s="25"/>
      <c r="K31" s="25"/>
      <c r="L31" s="25"/>
      <c r="M31" s="25"/>
      <c r="N31" s="25"/>
      <c r="O31" s="25"/>
      <c r="P31" s="26"/>
      <c r="Q31" s="13"/>
    </row>
    <row r="32" spans="2:17" x14ac:dyDescent="0.25">
      <c r="B32" s="12"/>
      <c r="C32" s="24"/>
      <c r="D32" s="25"/>
      <c r="E32" s="25"/>
      <c r="F32" s="25" t="s">
        <v>367</v>
      </c>
      <c r="G32" s="25"/>
      <c r="H32" s="25"/>
      <c r="I32" s="25"/>
      <c r="J32" s="25"/>
      <c r="K32" s="25"/>
      <c r="L32" s="25"/>
      <c r="M32" s="25"/>
      <c r="N32" s="25"/>
      <c r="O32" s="25"/>
      <c r="P32" s="26"/>
      <c r="Q32" s="13"/>
    </row>
    <row r="33" spans="2:17" x14ac:dyDescent="0.25">
      <c r="B33" s="12"/>
      <c r="C33" s="24"/>
      <c r="D33" s="177" t="s">
        <v>335</v>
      </c>
      <c r="E33" s="25" t="s">
        <v>336</v>
      </c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6"/>
      <c r="Q33" s="13"/>
    </row>
    <row r="34" spans="2:17" x14ac:dyDescent="0.25">
      <c r="B34" s="12"/>
      <c r="C34" s="24"/>
      <c r="D34" s="177" t="s">
        <v>337</v>
      </c>
      <c r="E34" s="25" t="s">
        <v>338</v>
      </c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6"/>
      <c r="Q34" s="13"/>
    </row>
    <row r="35" spans="2:17" x14ac:dyDescent="0.25">
      <c r="B35" s="12"/>
      <c r="C35" s="24"/>
      <c r="D35" s="177" t="s">
        <v>339</v>
      </c>
      <c r="E35" s="25" t="s">
        <v>340</v>
      </c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6"/>
      <c r="Q35" s="13"/>
    </row>
    <row r="36" spans="2:17" x14ac:dyDescent="0.25">
      <c r="B36" s="12"/>
      <c r="C36" s="24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6"/>
      <c r="Q36" s="13"/>
    </row>
    <row r="37" spans="2:17" ht="18.75" x14ac:dyDescent="0.3">
      <c r="B37" s="12"/>
      <c r="C37" s="24"/>
      <c r="D37" s="176" t="s">
        <v>341</v>
      </c>
      <c r="E37" s="176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6"/>
      <c r="Q37" s="13"/>
    </row>
    <row r="38" spans="2:17" x14ac:dyDescent="0.25">
      <c r="B38" s="12"/>
      <c r="C38" s="24"/>
      <c r="D38" s="25"/>
      <c r="E38" s="25" t="s">
        <v>342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6"/>
      <c r="Q38" s="13"/>
    </row>
    <row r="39" spans="2:17" x14ac:dyDescent="0.25">
      <c r="B39" s="12"/>
      <c r="C39" s="24"/>
      <c r="D39" s="25"/>
      <c r="E39" s="25" t="s">
        <v>343</v>
      </c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6"/>
      <c r="Q39" s="13"/>
    </row>
    <row r="40" spans="2:17" x14ac:dyDescent="0.25">
      <c r="B40" s="12"/>
      <c r="C40" s="24"/>
      <c r="D40" s="25"/>
      <c r="E40" s="25"/>
      <c r="F40" s="25" t="s">
        <v>368</v>
      </c>
      <c r="G40" s="25"/>
      <c r="H40" s="25"/>
      <c r="I40" s="25"/>
      <c r="J40" s="25"/>
      <c r="K40" s="25"/>
      <c r="L40" s="25"/>
      <c r="M40" s="25"/>
      <c r="N40" s="25"/>
      <c r="O40" s="25"/>
      <c r="P40" s="26"/>
      <c r="Q40" s="13"/>
    </row>
    <row r="41" spans="2:17" x14ac:dyDescent="0.25">
      <c r="B41" s="12"/>
      <c r="C41" s="24"/>
      <c r="D41" s="25"/>
      <c r="E41" s="25"/>
      <c r="F41" s="25" t="s">
        <v>334</v>
      </c>
      <c r="G41" s="25"/>
      <c r="H41" s="25"/>
      <c r="I41" s="25"/>
      <c r="J41" s="25"/>
      <c r="K41" s="25"/>
      <c r="L41" s="25"/>
      <c r="M41" s="25"/>
      <c r="N41" s="25"/>
      <c r="O41" s="25"/>
      <c r="P41" s="26"/>
      <c r="Q41" s="13"/>
    </row>
    <row r="42" spans="2:17" x14ac:dyDescent="0.25">
      <c r="B42" s="12"/>
      <c r="C42" s="24"/>
      <c r="D42" s="25"/>
      <c r="E42" s="25"/>
      <c r="F42" s="25" t="s">
        <v>369</v>
      </c>
      <c r="G42" s="25"/>
      <c r="H42" s="25"/>
      <c r="I42" s="25"/>
      <c r="J42" s="25"/>
      <c r="K42" s="25"/>
      <c r="L42" s="25"/>
      <c r="M42" s="25"/>
      <c r="N42" s="25"/>
      <c r="O42" s="25"/>
      <c r="P42" s="26"/>
      <c r="Q42" s="13"/>
    </row>
    <row r="43" spans="2:17" x14ac:dyDescent="0.25">
      <c r="B43" s="12"/>
      <c r="C43" s="24"/>
      <c r="D43" s="177" t="s">
        <v>344</v>
      </c>
      <c r="E43" s="25" t="s">
        <v>345</v>
      </c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6"/>
      <c r="Q43" s="13"/>
    </row>
    <row r="44" spans="2:17" x14ac:dyDescent="0.25">
      <c r="B44" s="12"/>
      <c r="C44" s="24"/>
      <c r="D44" s="177" t="s">
        <v>346</v>
      </c>
      <c r="E44" s="25" t="s">
        <v>347</v>
      </c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6"/>
      <c r="Q44" s="13"/>
    </row>
    <row r="45" spans="2:17" x14ac:dyDescent="0.25">
      <c r="B45" s="12"/>
      <c r="C45" s="24"/>
      <c r="D45" s="25"/>
      <c r="E45" s="25" t="s">
        <v>348</v>
      </c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6"/>
      <c r="Q45" s="13"/>
    </row>
    <row r="46" spans="2:17" x14ac:dyDescent="0.25">
      <c r="B46" s="12"/>
      <c r="C46" s="24"/>
      <c r="D46" s="177" t="s">
        <v>349</v>
      </c>
      <c r="E46" s="25" t="s">
        <v>350</v>
      </c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6"/>
      <c r="Q46" s="13"/>
    </row>
    <row r="47" spans="2:17" x14ac:dyDescent="0.25">
      <c r="B47" s="12"/>
      <c r="C47" s="24"/>
      <c r="D47" s="25"/>
      <c r="E47" s="25" t="s">
        <v>351</v>
      </c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6"/>
      <c r="Q47" s="13"/>
    </row>
    <row r="48" spans="2:17" x14ac:dyDescent="0.25">
      <c r="B48" s="12"/>
      <c r="C48" s="27"/>
      <c r="D48" s="177" t="s">
        <v>352</v>
      </c>
      <c r="E48" s="31" t="s">
        <v>353</v>
      </c>
      <c r="F48" s="31"/>
      <c r="G48" s="31"/>
      <c r="H48" s="31"/>
      <c r="I48" s="31"/>
      <c r="J48" s="31"/>
      <c r="K48" s="31"/>
      <c r="L48" s="31"/>
      <c r="M48" s="25"/>
      <c r="N48" s="25"/>
      <c r="O48" s="25"/>
      <c r="P48" s="26"/>
      <c r="Q48" s="13"/>
    </row>
    <row r="49" spans="2:17" ht="15.75" thickBot="1" x14ac:dyDescent="0.3">
      <c r="B49" s="12"/>
      <c r="C49" s="32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4"/>
      <c r="Q49" s="13"/>
    </row>
    <row r="50" spans="2:17" ht="15.75" thickBot="1" x14ac:dyDescent="0.3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7"/>
    </row>
  </sheetData>
  <mergeCells count="1">
    <mergeCell ref="C3:P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ED1B-E04E-474C-B625-E1460864C939}">
  <sheetPr codeName="Sheet9">
    <tabColor theme="1"/>
  </sheetPr>
  <dimension ref="B1:AE79"/>
  <sheetViews>
    <sheetView zoomScaleNormal="100" workbookViewId="0"/>
  </sheetViews>
  <sheetFormatPr defaultRowHeight="15" x14ac:dyDescent="0.25"/>
  <cols>
    <col min="1" max="1" width="2.85546875" style="2" customWidth="1"/>
    <col min="2" max="2" width="2.140625" style="2" customWidth="1"/>
    <col min="3" max="3" width="16.5703125" style="2" customWidth="1"/>
    <col min="4" max="4" width="2.140625" style="2" customWidth="1"/>
    <col min="5" max="5" width="29.140625" style="2" customWidth="1"/>
    <col min="6" max="6" width="2.140625" style="2" customWidth="1"/>
    <col min="7" max="7" width="2.28515625" style="2" customWidth="1"/>
    <col min="8" max="8" width="2.140625" style="2" customWidth="1"/>
    <col min="9" max="9" width="10" style="2" bestFit="1" customWidth="1"/>
    <col min="10" max="10" width="18.5703125" style="2" customWidth="1"/>
    <col min="11" max="25" width="2.85546875" style="2" customWidth="1"/>
    <col min="26" max="26" width="1.85546875" style="2" customWidth="1"/>
    <col min="27" max="27" width="2.28515625" style="2" customWidth="1"/>
    <col min="28" max="29" width="2.140625" style="2" customWidth="1"/>
    <col min="30" max="30" width="9.140625" style="2"/>
    <col min="31" max="31" width="2.28515625" style="2" customWidth="1"/>
    <col min="32" max="16384" width="9.140625" style="2"/>
  </cols>
  <sheetData>
    <row r="1" spans="2:29" ht="15.75" thickBot="1" x14ac:dyDescent="0.3"/>
    <row r="2" spans="2:29" x14ac:dyDescent="0.25">
      <c r="H2" s="7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9"/>
    </row>
    <row r="3" spans="2:29" x14ac:dyDescent="0.25">
      <c r="H3" s="12"/>
      <c r="I3" s="207" t="s">
        <v>1</v>
      </c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9"/>
      <c r="AC3" s="13"/>
    </row>
    <row r="4" spans="2:29" ht="15.75" thickBot="1" x14ac:dyDescent="0.3">
      <c r="H4" s="17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9"/>
    </row>
    <row r="5" spans="2:29" x14ac:dyDescent="0.25">
      <c r="H5" s="12"/>
      <c r="I5" s="144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8"/>
      <c r="AC5" s="13"/>
    </row>
    <row r="6" spans="2:29" ht="15.75" thickBot="1" x14ac:dyDescent="0.3">
      <c r="H6" s="12"/>
      <c r="I6" s="145"/>
      <c r="J6" s="76" t="str">
        <f>IF(ISBLANK($E$19),"Custom Invoice for",_xlfn.CONCAT("Custom Invoice for ",$E$19))</f>
        <v>Custom Invoice for</v>
      </c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26"/>
      <c r="AC6" s="13"/>
    </row>
    <row r="7" spans="2:29" x14ac:dyDescent="0.25">
      <c r="B7" s="3"/>
      <c r="C7" s="4"/>
      <c r="D7" s="5"/>
      <c r="E7" s="5"/>
      <c r="F7" s="6"/>
      <c r="H7" s="12"/>
      <c r="I7" s="145"/>
      <c r="J7" s="76" t="str">
        <f>IF(ISBLANK($E$10),"Created by:",_xlfn.CONCAT("Created by: ",$E$10))</f>
        <v>Created by:</v>
      </c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26"/>
      <c r="AC7" s="13"/>
    </row>
    <row r="8" spans="2:29" x14ac:dyDescent="0.25">
      <c r="B8" s="10"/>
      <c r="C8" s="223" t="s">
        <v>0</v>
      </c>
      <c r="D8" s="223"/>
      <c r="E8" s="223"/>
      <c r="F8" s="11"/>
      <c r="H8" s="12"/>
      <c r="I8" s="145"/>
      <c r="J8" s="76" t="str">
        <f>IF(ISBLANK($E$13),"Requested by:",_xlfn.CONCAT("Requested by: ",$E$13))</f>
        <v>Requested by:</v>
      </c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26"/>
      <c r="AC8" s="13"/>
    </row>
    <row r="9" spans="2:29" ht="15.75" thickBot="1" x14ac:dyDescent="0.3">
      <c r="B9" s="14"/>
      <c r="C9" s="15"/>
      <c r="D9" s="15"/>
      <c r="E9" s="15"/>
      <c r="F9" s="16"/>
      <c r="H9" s="12"/>
      <c r="I9" s="145"/>
      <c r="J9" s="77" t="str">
        <f>IF(ISBLANK($E$23),"BAN:",_xlfn.CONCAT("BAN: ",$E$23))</f>
        <v>BAN:</v>
      </c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6"/>
      <c r="Z9" s="76"/>
      <c r="AA9" s="76"/>
      <c r="AB9" s="26"/>
      <c r="AC9" s="13"/>
    </row>
    <row r="10" spans="2:29" x14ac:dyDescent="0.25">
      <c r="B10" s="14"/>
      <c r="C10" s="20" t="s">
        <v>4</v>
      </c>
      <c r="D10" s="15"/>
      <c r="E10" s="149"/>
      <c r="F10" s="16"/>
      <c r="H10" s="12"/>
      <c r="I10" s="145"/>
      <c r="J10" s="77" t="str">
        <f>IF(ISBLANK('Invoice Details'!$D$9),"Term of Invoice:",_xlfn.CONCAT("Term of Invoice:  ",'Invoice Details'!$D$9))</f>
        <v>Term of Invoice:  12 Months</v>
      </c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6"/>
      <c r="Z10" s="76"/>
      <c r="AA10" s="76"/>
      <c r="AB10" s="26"/>
      <c r="AC10" s="13"/>
    </row>
    <row r="11" spans="2:29" x14ac:dyDescent="0.25">
      <c r="B11" s="14"/>
      <c r="C11" s="20" t="s">
        <v>6</v>
      </c>
      <c r="D11" s="15"/>
      <c r="E11" s="150"/>
      <c r="F11" s="16"/>
      <c r="H11" s="12"/>
      <c r="I11" s="145"/>
      <c r="J11" s="77" t="str">
        <f>IF(ISBLANK('Invoice Details'!D5),"What is Included: ",_xlfn.CONCAT("What is included: ",'Invoice Details'!$D$5))</f>
        <v xml:space="preserve">What is Included: </v>
      </c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6"/>
      <c r="Z11" s="76"/>
      <c r="AA11" s="76"/>
      <c r="AB11" s="26"/>
      <c r="AC11" s="13"/>
    </row>
    <row r="12" spans="2:29" x14ac:dyDescent="0.25">
      <c r="B12" s="14"/>
      <c r="C12" s="20" t="s">
        <v>8</v>
      </c>
      <c r="D12" s="15"/>
      <c r="E12" s="150"/>
      <c r="F12" s="16"/>
      <c r="H12" s="12"/>
      <c r="I12" s="145"/>
      <c r="J12" s="77" t="str">
        <f>IF(ISBLANK('Invoice Details'!$X$8),"Total Amount Invoiced:  ",_xlfn.CONCAT("Total Amount Invoiced: ",DOLLAR('Invoice Details'!$X$8)))</f>
        <v>Total Amount Invoiced: $0.00</v>
      </c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6"/>
      <c r="Z12" s="76"/>
      <c r="AA12" s="76"/>
      <c r="AB12" s="26"/>
      <c r="AC12" s="13"/>
    </row>
    <row r="13" spans="2:29" ht="15.75" thickBot="1" x14ac:dyDescent="0.3">
      <c r="B13" s="14"/>
      <c r="C13" s="20" t="s">
        <v>10</v>
      </c>
      <c r="D13" s="15"/>
      <c r="E13" s="151"/>
      <c r="F13" s="16"/>
      <c r="H13" s="12"/>
      <c r="I13" s="32"/>
      <c r="J13" s="147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85"/>
      <c r="Z13" s="85"/>
      <c r="AA13" s="85"/>
      <c r="AB13" s="86"/>
      <c r="AC13" s="13"/>
    </row>
    <row r="14" spans="2:29" ht="15.75" thickBot="1" x14ac:dyDescent="0.3">
      <c r="B14" s="28"/>
      <c r="C14" s="29"/>
      <c r="D14" s="29"/>
      <c r="E14" s="29"/>
      <c r="F14" s="30"/>
      <c r="H14" s="17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9"/>
    </row>
    <row r="15" spans="2:29" ht="15.75" thickBot="1" x14ac:dyDescent="0.3"/>
    <row r="16" spans="2:29" x14ac:dyDescent="0.25">
      <c r="B16" s="79"/>
      <c r="C16" s="80"/>
      <c r="D16" s="80"/>
      <c r="E16" s="80"/>
      <c r="F16" s="81"/>
      <c r="H16" s="7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9"/>
    </row>
    <row r="17" spans="2:31" x14ac:dyDescent="0.25">
      <c r="B17" s="82"/>
      <c r="C17" s="222" t="s">
        <v>57</v>
      </c>
      <c r="D17" s="222"/>
      <c r="E17" s="222"/>
      <c r="F17" s="83"/>
      <c r="H17" s="12"/>
      <c r="I17" s="207" t="s">
        <v>64</v>
      </c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9"/>
      <c r="AC17" s="13"/>
    </row>
    <row r="18" spans="2:31" ht="15.75" thickBot="1" x14ac:dyDescent="0.3">
      <c r="B18" s="82"/>
      <c r="C18" s="78"/>
      <c r="D18" s="78"/>
      <c r="E18" s="78"/>
      <c r="F18" s="13"/>
      <c r="H18" s="17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9"/>
    </row>
    <row r="19" spans="2:31" x14ac:dyDescent="0.25">
      <c r="B19" s="82"/>
      <c r="C19" s="224" t="s">
        <v>2</v>
      </c>
      <c r="D19" s="215"/>
      <c r="E19" s="152"/>
      <c r="F19" s="13"/>
      <c r="H19" s="12"/>
      <c r="I19" s="141" t="s">
        <v>66</v>
      </c>
      <c r="J19" s="140" t="s">
        <v>4</v>
      </c>
      <c r="K19" s="215" t="s">
        <v>67</v>
      </c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6"/>
      <c r="AC19" s="13"/>
    </row>
    <row r="20" spans="2:31" x14ac:dyDescent="0.25">
      <c r="B20" s="82"/>
      <c r="C20" s="227" t="s">
        <v>3</v>
      </c>
      <c r="D20" s="228"/>
      <c r="E20" s="153"/>
      <c r="F20" s="13"/>
      <c r="H20" s="12"/>
      <c r="I20" s="139" t="s">
        <v>65</v>
      </c>
      <c r="J20" s="87" t="s">
        <v>4</v>
      </c>
      <c r="K20" s="217" t="s">
        <v>354</v>
      </c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9"/>
      <c r="AC20" s="13"/>
    </row>
    <row r="21" spans="2:31" x14ac:dyDescent="0.25">
      <c r="B21" s="82"/>
      <c r="C21" s="227" t="s">
        <v>5</v>
      </c>
      <c r="D21" s="228"/>
      <c r="E21" s="153"/>
      <c r="F21" s="13"/>
      <c r="H21" s="12"/>
      <c r="I21" s="139" t="s">
        <v>68</v>
      </c>
      <c r="J21" s="87" t="s">
        <v>4</v>
      </c>
      <c r="K21" s="217" t="s">
        <v>354</v>
      </c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9"/>
      <c r="AC21" s="13"/>
    </row>
    <row r="22" spans="2:31" x14ac:dyDescent="0.25">
      <c r="B22" s="82"/>
      <c r="C22" s="227" t="s">
        <v>7</v>
      </c>
      <c r="D22" s="228"/>
      <c r="E22" s="153"/>
      <c r="F22" s="13"/>
      <c r="H22" s="12"/>
      <c r="I22" s="88" t="s">
        <v>8</v>
      </c>
      <c r="J22" s="89" t="str">
        <f>IF(E12&lt;&gt;"",VLOOKUP("Coach",C:E,3,0),"Enter Data")</f>
        <v>Enter Data</v>
      </c>
      <c r="K22" s="220" t="str" cm="1">
        <f t="array" ref="K22">IFERROR(_xlfn.IFS(J22="Ty","joshua.dill24@t-mobile.com",J22="DeAnna","cara.corbett1@t-mobile.com",J22="Jeremy","jeremy.lawrence43@t-mobile.com",J22="Jess (Test)","jessica.kennedy1@t-mobile.com"),"Enter Data")</f>
        <v>Enter Data</v>
      </c>
      <c r="L22" s="220"/>
      <c r="M22" s="220"/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1"/>
      <c r="AC22" s="13"/>
    </row>
    <row r="23" spans="2:31" x14ac:dyDescent="0.25">
      <c r="B23" s="82"/>
      <c r="C23" s="227" t="s">
        <v>9</v>
      </c>
      <c r="D23" s="228"/>
      <c r="E23" s="153"/>
      <c r="F23" s="13"/>
      <c r="H23" s="12"/>
      <c r="I23" s="139" t="s">
        <v>69</v>
      </c>
      <c r="J23" s="155"/>
      <c r="K23" s="210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2"/>
      <c r="AC23" s="13"/>
    </row>
    <row r="24" spans="2:31" ht="15" customHeight="1" thickBot="1" x14ac:dyDescent="0.3">
      <c r="B24" s="82"/>
      <c r="C24" s="225" t="s">
        <v>71</v>
      </c>
      <c r="D24" s="226"/>
      <c r="E24" s="154"/>
      <c r="F24" s="83"/>
      <c r="G24" s="38"/>
      <c r="H24" s="12"/>
      <c r="I24" s="138" t="s">
        <v>70</v>
      </c>
      <c r="J24" s="156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  <c r="AA24" s="213"/>
      <c r="AB24" s="214"/>
      <c r="AC24" s="13"/>
      <c r="AD24" s="38"/>
    </row>
    <row r="25" spans="2:31" ht="15" customHeight="1" thickBot="1" x14ac:dyDescent="0.3">
      <c r="B25" s="35"/>
      <c r="C25" s="84"/>
      <c r="D25" s="84"/>
      <c r="E25" s="84"/>
      <c r="F25" s="37"/>
      <c r="G25" s="38"/>
      <c r="H25" s="35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7"/>
      <c r="AD25" s="38"/>
    </row>
    <row r="26" spans="2:31" ht="15" customHeight="1" x14ac:dyDescent="0.25">
      <c r="B26" s="38"/>
      <c r="C26" s="38"/>
      <c r="D26" s="38"/>
      <c r="E26" s="38"/>
      <c r="F26" s="38"/>
      <c r="G26" s="38"/>
      <c r="AD26" s="38"/>
    </row>
    <row r="27" spans="2:31" ht="15" customHeight="1" x14ac:dyDescent="0.25">
      <c r="B27" s="38"/>
      <c r="C27" s="38"/>
      <c r="D27" s="38"/>
      <c r="E27" s="38"/>
      <c r="F27" s="38"/>
      <c r="G27" s="38"/>
      <c r="H27" s="39" t="s">
        <v>15</v>
      </c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8"/>
      <c r="Z27" s="38"/>
      <c r="AA27" s="38"/>
      <c r="AB27" s="38"/>
      <c r="AC27" s="38"/>
      <c r="AD27" s="38"/>
    </row>
    <row r="28" spans="2:31" ht="15" customHeight="1" thickBot="1" x14ac:dyDescent="0.3">
      <c r="B28" s="38"/>
      <c r="C28" s="38"/>
      <c r="D28" s="38"/>
      <c r="E28" s="38"/>
      <c r="F28" s="38"/>
      <c r="G28" s="38"/>
      <c r="H28" s="38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8"/>
      <c r="Z28" s="38"/>
      <c r="AA28" s="38"/>
      <c r="AB28" s="38"/>
      <c r="AC28" s="38"/>
      <c r="AD28" s="38"/>
    </row>
    <row r="29" spans="2:31" ht="15" customHeight="1" thickBot="1" x14ac:dyDescent="0.3">
      <c r="B29" s="38"/>
      <c r="C29" s="38"/>
      <c r="D29" s="190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2"/>
      <c r="AD29" s="38"/>
      <c r="AE29" s="38"/>
    </row>
    <row r="30" spans="2:31" ht="15" customHeight="1" thickBot="1" x14ac:dyDescent="0.3">
      <c r="B30" s="38"/>
      <c r="C30" s="38"/>
      <c r="D30" s="196"/>
      <c r="E30" s="42"/>
      <c r="F30" s="43"/>
      <c r="G30" s="43"/>
      <c r="H30" s="43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5"/>
      <c r="AC30" s="197"/>
      <c r="AD30" s="38"/>
      <c r="AE30" s="38"/>
    </row>
    <row r="31" spans="2:31" ht="15" customHeight="1" thickBot="1" x14ac:dyDescent="0.3">
      <c r="B31" s="38"/>
      <c r="C31" s="38"/>
      <c r="D31" s="193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5"/>
      <c r="AD31" s="38"/>
      <c r="AE31" s="38"/>
    </row>
    <row r="32" spans="2:31" ht="15" customHeight="1" x14ac:dyDescent="0.25">
      <c r="B32" s="38"/>
      <c r="C32" s="38"/>
      <c r="D32" s="38"/>
      <c r="E32" s="38"/>
      <c r="F32" s="38"/>
      <c r="G32" s="38"/>
      <c r="AD32" s="38"/>
    </row>
    <row r="33" spans="2:30" ht="15" customHeight="1" x14ac:dyDescent="0.25">
      <c r="B33" s="38"/>
      <c r="C33" s="38"/>
      <c r="D33" s="38"/>
      <c r="E33" s="38"/>
      <c r="F33" s="38"/>
      <c r="G33" s="38"/>
      <c r="AD33" s="38"/>
    </row>
    <row r="34" spans="2:30" ht="15" customHeight="1" x14ac:dyDescent="0.25">
      <c r="B34" s="38"/>
      <c r="C34" s="38"/>
      <c r="D34" s="38"/>
      <c r="E34" s="38"/>
      <c r="F34" s="38"/>
      <c r="G34" s="38"/>
      <c r="AD34" s="38"/>
    </row>
    <row r="35" spans="2:30" ht="15" customHeight="1" x14ac:dyDescent="0.25">
      <c r="B35" s="38"/>
      <c r="C35" s="38"/>
      <c r="D35" s="38"/>
      <c r="E35" s="38"/>
      <c r="F35" s="38"/>
      <c r="G35" s="38"/>
      <c r="AD35" s="38"/>
    </row>
    <row r="36" spans="2:30" ht="15" customHeight="1" x14ac:dyDescent="0.25">
      <c r="B36" s="38"/>
      <c r="C36" s="38"/>
      <c r="D36" s="38"/>
      <c r="E36" s="38"/>
      <c r="F36" s="38"/>
      <c r="G36" s="38"/>
      <c r="AD36" s="38"/>
    </row>
    <row r="37" spans="2:30" ht="15" customHeight="1" x14ac:dyDescent="0.25">
      <c r="B37" s="38"/>
      <c r="C37" s="38"/>
      <c r="D37" s="38"/>
      <c r="E37" s="38"/>
      <c r="F37" s="38"/>
      <c r="G37" s="38"/>
      <c r="AD37" s="38"/>
    </row>
    <row r="38" spans="2:30" ht="15" customHeight="1" x14ac:dyDescent="0.25">
      <c r="B38" s="38"/>
      <c r="C38" s="38"/>
      <c r="D38" s="38"/>
      <c r="E38" s="38"/>
      <c r="F38" s="38"/>
      <c r="G38" s="38"/>
      <c r="AD38" s="38"/>
    </row>
    <row r="39" spans="2:30" ht="15" customHeight="1" x14ac:dyDescent="0.25">
      <c r="B39" s="38"/>
      <c r="C39" s="38"/>
      <c r="D39" s="38"/>
      <c r="E39" s="38"/>
      <c r="F39" s="38"/>
      <c r="G39" s="38"/>
      <c r="AD39" s="38"/>
    </row>
    <row r="40" spans="2:30" ht="15" customHeight="1" x14ac:dyDescent="0.25">
      <c r="B40" s="38"/>
      <c r="C40" s="38"/>
      <c r="D40" s="38"/>
      <c r="E40" s="38"/>
      <c r="F40" s="38"/>
      <c r="G40" s="38"/>
      <c r="H40" s="38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8"/>
      <c r="Z40" s="38"/>
      <c r="AA40" s="38"/>
      <c r="AB40" s="38"/>
      <c r="AC40" s="38"/>
      <c r="AD40" s="38"/>
    </row>
    <row r="41" spans="2:30" ht="15" customHeight="1" x14ac:dyDescent="0.25">
      <c r="B41" s="38"/>
      <c r="C41" s="38"/>
      <c r="D41" s="38"/>
      <c r="E41" s="38"/>
      <c r="F41" s="38"/>
      <c r="G41" s="38"/>
      <c r="H41" s="38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8"/>
      <c r="Z41" s="38"/>
      <c r="AA41" s="38"/>
      <c r="AB41" s="38"/>
      <c r="AC41" s="38"/>
      <c r="AD41" s="38"/>
    </row>
    <row r="42" spans="2:30" ht="15" customHeight="1" x14ac:dyDescent="0.25">
      <c r="B42" s="38"/>
      <c r="C42" s="38"/>
      <c r="D42" s="38"/>
      <c r="E42" s="38"/>
      <c r="F42" s="38"/>
      <c r="H42" s="38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8"/>
      <c r="Z42" s="38"/>
      <c r="AA42" s="38"/>
      <c r="AB42" s="38"/>
      <c r="AC42" s="38"/>
      <c r="AD42" s="38"/>
    </row>
    <row r="43" spans="2:30" ht="15.75" customHeight="1" x14ac:dyDescent="0.25">
      <c r="B43" s="38"/>
      <c r="C43" s="38"/>
      <c r="D43" s="38"/>
      <c r="E43" s="38"/>
      <c r="F43" s="38"/>
      <c r="G43" s="38"/>
      <c r="H43" s="38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8"/>
      <c r="Z43" s="38"/>
      <c r="AA43" s="38"/>
      <c r="AB43" s="38"/>
      <c r="AC43" s="38"/>
      <c r="AD43" s="40"/>
    </row>
    <row r="44" spans="2:30" ht="28.5" x14ac:dyDescent="0.25">
      <c r="G44" s="39"/>
      <c r="H44" s="38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8"/>
      <c r="Z44" s="38"/>
      <c r="AA44" s="38"/>
      <c r="AB44" s="38"/>
      <c r="AC44" s="38"/>
      <c r="AD44" s="41"/>
    </row>
    <row r="45" spans="2:30" ht="28.5" x14ac:dyDescent="0.25"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46"/>
    </row>
    <row r="46" spans="2:30" x14ac:dyDescent="0.25">
      <c r="AD46" s="41"/>
    </row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79" hidden="1" x14ac:dyDescent="0.25"/>
  </sheetData>
  <mergeCells count="16">
    <mergeCell ref="C24:D24"/>
    <mergeCell ref="C21:D21"/>
    <mergeCell ref="C22:D22"/>
    <mergeCell ref="C23:D23"/>
    <mergeCell ref="C20:D20"/>
    <mergeCell ref="C17:E17"/>
    <mergeCell ref="I3:AB3"/>
    <mergeCell ref="C8:E8"/>
    <mergeCell ref="I17:AB17"/>
    <mergeCell ref="C19:D19"/>
    <mergeCell ref="K23:AB23"/>
    <mergeCell ref="K24:AB24"/>
    <mergeCell ref="K19:AB19"/>
    <mergeCell ref="K20:AB20"/>
    <mergeCell ref="K21:AB21"/>
    <mergeCell ref="K22:AB22"/>
  </mergeCells>
  <dataValidations count="3">
    <dataValidation type="list" allowBlank="1" showInputMessage="1" showErrorMessage="1" sqref="E12" xr:uid="{DCB150BD-39D8-426E-8900-5E43F94A3C32}">
      <formula1>"Ty, DeAnna, Jeremy"</formula1>
    </dataValidation>
    <dataValidation type="list" allowBlank="1" showInputMessage="1" showErrorMessage="1" errorTitle="Oops!" error="You must select a valid Group number 1-8. If entering your own Static Combo information, select N/A" sqref="E14" xr:uid="{D507A12F-D305-4F17-9EB9-3220BD543F63}">
      <formula1>"N/A,1,2,3,4,5,6,7,8"</formula1>
    </dataValidation>
    <dataValidation type="list" allowBlank="1" showInputMessage="1" showErrorMessage="1" sqref="E13" xr:uid="{E7C289A0-7924-4F8B-9F97-A6C138E2AA6B}">
      <formula1>"Customer,Sales"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r:id="rId5">
            <anchor>
              <from>
                <xdr:col>1</xdr:col>
                <xdr:colOff>19050</xdr:colOff>
                <xdr:row>27</xdr:row>
                <xdr:rowOff>180975</xdr:rowOff>
              </from>
              <to>
                <xdr:col>2</xdr:col>
                <xdr:colOff>1019175</xdr:colOff>
                <xdr:row>31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F2302-A6C4-46A5-BE46-AA2121918349}">
  <sheetPr codeName="Sheet1">
    <tabColor rgb="FF002060"/>
  </sheetPr>
  <dimension ref="B2:Y13"/>
  <sheetViews>
    <sheetView workbookViewId="0">
      <selection activeCell="X8" sqref="X8"/>
    </sheetView>
  </sheetViews>
  <sheetFormatPr defaultRowHeight="15" x14ac:dyDescent="0.25"/>
  <cols>
    <col min="1" max="2" width="2.85546875" style="101" customWidth="1"/>
    <col min="3" max="3" width="27.7109375" style="101" bestFit="1" customWidth="1"/>
    <col min="4" max="4" width="32.85546875" style="101" bestFit="1" customWidth="1"/>
    <col min="5" max="5" width="2.85546875" style="101" customWidth="1"/>
    <col min="6" max="7" width="2.85546875" style="101" hidden="1" customWidth="1"/>
    <col min="8" max="8" width="20.140625" style="101" hidden="1" customWidth="1"/>
    <col min="9" max="9" width="28.140625" style="101" hidden="1" customWidth="1"/>
    <col min="10" max="12" width="2.85546875" style="101" hidden="1" customWidth="1"/>
    <col min="13" max="13" width="20" style="101" hidden="1" customWidth="1"/>
    <col min="14" max="14" width="19.5703125" style="101" hidden="1" customWidth="1"/>
    <col min="15" max="15" width="2.85546875" style="101" hidden="1" customWidth="1"/>
    <col min="16" max="17" width="2.85546875" style="101" customWidth="1"/>
    <col min="18" max="18" width="28.5703125" style="101" customWidth="1"/>
    <col min="19" max="19" width="21.140625" style="101" bestFit="1" customWidth="1"/>
    <col min="20" max="22" width="2.85546875" style="101" customWidth="1"/>
    <col min="23" max="23" width="34.5703125" style="101" bestFit="1" customWidth="1"/>
    <col min="24" max="24" width="21.140625" style="101" bestFit="1" customWidth="1"/>
    <col min="25" max="25" width="2.85546875" style="101" customWidth="1"/>
    <col min="26" max="16384" width="9.140625" style="101"/>
  </cols>
  <sheetData>
    <row r="2" spans="2:25" x14ac:dyDescent="0.25">
      <c r="B2" s="1"/>
      <c r="C2" s="1"/>
      <c r="D2" s="1"/>
      <c r="E2" s="1"/>
      <c r="G2" s="1"/>
      <c r="H2" s="1"/>
      <c r="I2" s="1"/>
      <c r="J2" s="1"/>
      <c r="L2" s="1"/>
      <c r="M2" s="1"/>
      <c r="N2" s="1"/>
      <c r="O2" s="1"/>
      <c r="Q2" s="1"/>
      <c r="R2" s="1"/>
      <c r="S2" s="1"/>
      <c r="T2" s="1"/>
      <c r="V2" s="1"/>
      <c r="W2" s="1"/>
      <c r="X2" s="1"/>
      <c r="Y2" s="1"/>
    </row>
    <row r="3" spans="2:25" x14ac:dyDescent="0.25">
      <c r="B3" s="1"/>
      <c r="C3" s="229" t="s">
        <v>72</v>
      </c>
      <c r="D3" s="230"/>
      <c r="E3" s="1"/>
      <c r="G3" s="1"/>
      <c r="H3" s="229" t="s">
        <v>74</v>
      </c>
      <c r="I3" s="230"/>
      <c r="J3" s="1"/>
      <c r="L3" s="1"/>
      <c r="M3" s="229" t="s">
        <v>75</v>
      </c>
      <c r="N3" s="230"/>
      <c r="O3" s="1"/>
      <c r="Q3" s="1"/>
      <c r="R3" s="229" t="s">
        <v>76</v>
      </c>
      <c r="S3" s="230"/>
      <c r="T3" s="1"/>
      <c r="V3" s="1"/>
      <c r="W3" s="229" t="s">
        <v>77</v>
      </c>
      <c r="X3" s="230"/>
      <c r="Y3" s="1"/>
    </row>
    <row r="4" spans="2:25" ht="15.75" thickBot="1" x14ac:dyDescent="0.3">
      <c r="B4" s="1"/>
      <c r="C4" s="1"/>
      <c r="D4" s="1"/>
      <c r="E4" s="1"/>
      <c r="G4" s="1"/>
      <c r="H4" s="1"/>
      <c r="I4" s="1"/>
      <c r="J4" s="1"/>
      <c r="L4" s="1"/>
      <c r="M4" s="1"/>
      <c r="N4" s="1"/>
      <c r="O4" s="1"/>
      <c r="Q4" s="1"/>
      <c r="R4" s="1"/>
      <c r="S4" s="1"/>
      <c r="T4" s="1"/>
      <c r="V4" s="1"/>
      <c r="W4" s="1"/>
      <c r="X4" s="1"/>
      <c r="Y4" s="1"/>
    </row>
    <row r="5" spans="2:25" s="100" customFormat="1" x14ac:dyDescent="0.25">
      <c r="B5" s="90"/>
      <c r="C5" s="125" t="s">
        <v>58</v>
      </c>
      <c r="D5" s="162"/>
      <c r="E5" s="90"/>
      <c r="G5" s="90"/>
      <c r="H5" s="98" t="s">
        <v>18</v>
      </c>
      <c r="I5" s="93">
        <v>1</v>
      </c>
      <c r="J5" s="90"/>
      <c r="L5" s="90"/>
      <c r="M5" s="98" t="s">
        <v>19</v>
      </c>
      <c r="N5" s="93">
        <v>0</v>
      </c>
      <c r="O5" s="90"/>
      <c r="Q5" s="90"/>
      <c r="R5" s="125" t="s">
        <v>301</v>
      </c>
      <c r="S5" s="184">
        <f>IFERROR(VLOOKUP("Total Taxes/Fees for All Voice Lines for Billing Period",Voice!J:K,2,0),"Review")</f>
        <v>0</v>
      </c>
      <c r="T5" s="90"/>
      <c r="V5" s="90"/>
      <c r="W5" s="128" t="s">
        <v>22</v>
      </c>
      <c r="X5" s="187">
        <f>SUM(Voice!E77,Data!E77)</f>
        <v>0</v>
      </c>
      <c r="Y5" s="90"/>
    </row>
    <row r="6" spans="2:25" s="100" customFormat="1" x14ac:dyDescent="0.25">
      <c r="B6" s="90"/>
      <c r="C6" s="126" t="s">
        <v>62</v>
      </c>
      <c r="D6" s="163"/>
      <c r="E6" s="90"/>
      <c r="G6" s="90"/>
      <c r="H6" s="98" t="s">
        <v>55</v>
      </c>
      <c r="I6" s="93" t="s">
        <v>56</v>
      </c>
      <c r="J6" s="90"/>
      <c r="L6" s="90"/>
      <c r="M6" s="98" t="s">
        <v>55</v>
      </c>
      <c r="N6" s="47"/>
      <c r="O6" s="90"/>
      <c r="Q6" s="90"/>
      <c r="R6" s="126" t="s">
        <v>302</v>
      </c>
      <c r="S6" s="185">
        <f>IFERROR(VLOOKUP("Total Taxes/Fees for All Data Lines for Billing Period",Data!J:K,2,0),"Review")</f>
        <v>0</v>
      </c>
      <c r="T6" s="90"/>
      <c r="V6" s="90"/>
      <c r="W6" s="129" t="s">
        <v>256</v>
      </c>
      <c r="X6" s="188">
        <f>IFERROR(VLOOKUP("Total Equipment Charges",Equipment!D:E,2,0),"Review")</f>
        <v>0</v>
      </c>
      <c r="Y6" s="90"/>
    </row>
    <row r="7" spans="2:25" s="100" customFormat="1" x14ac:dyDescent="0.25">
      <c r="B7" s="90"/>
      <c r="C7" s="126" t="s">
        <v>12</v>
      </c>
      <c r="D7" s="164"/>
      <c r="E7" s="90"/>
      <c r="G7" s="90"/>
      <c r="H7" s="98" t="s">
        <v>26</v>
      </c>
      <c r="I7" s="95" t="s">
        <v>51</v>
      </c>
      <c r="J7" s="90"/>
      <c r="L7" s="90"/>
      <c r="M7" s="98" t="s">
        <v>26</v>
      </c>
      <c r="N7" s="47"/>
      <c r="O7" s="90"/>
      <c r="Q7" s="1"/>
      <c r="R7" s="126" t="s">
        <v>303</v>
      </c>
      <c r="S7" s="185">
        <f>IFERROR(VLOOKUP("Total Equipment Charges",Equipment!D:E,2,0),"Review")</f>
        <v>0</v>
      </c>
      <c r="T7" s="1"/>
      <c r="V7" s="90"/>
      <c r="W7" s="129" t="s">
        <v>23</v>
      </c>
      <c r="X7" s="165">
        <v>0</v>
      </c>
      <c r="Y7" s="90"/>
    </row>
    <row r="8" spans="2:25" s="100" customFormat="1" ht="15.75" thickBot="1" x14ac:dyDescent="0.3">
      <c r="B8" s="90"/>
      <c r="C8" s="126" t="s">
        <v>13</v>
      </c>
      <c r="D8" s="164"/>
      <c r="E8" s="90"/>
      <c r="G8" s="90"/>
      <c r="H8" s="97" t="s">
        <v>20</v>
      </c>
      <c r="I8" s="95">
        <v>24.65</v>
      </c>
      <c r="J8" s="90"/>
      <c r="L8" s="90"/>
      <c r="M8" s="97" t="s">
        <v>20</v>
      </c>
      <c r="N8" s="48">
        <v>0</v>
      </c>
      <c r="O8" s="90"/>
      <c r="Q8" s="1"/>
      <c r="R8" s="127" t="s">
        <v>53</v>
      </c>
      <c r="S8" s="186">
        <f>IFERROR(SUM(S5:S7),"Review")</f>
        <v>0</v>
      </c>
      <c r="T8" s="1"/>
      <c r="V8" s="90"/>
      <c r="W8" s="130" t="s">
        <v>24</v>
      </c>
      <c r="X8" s="189">
        <f>SUM(X5:X7)</f>
        <v>0</v>
      </c>
      <c r="Y8" s="90"/>
    </row>
    <row r="9" spans="2:25" s="100" customFormat="1" x14ac:dyDescent="0.25">
      <c r="B9" s="90"/>
      <c r="C9" s="126" t="s">
        <v>14</v>
      </c>
      <c r="D9" s="163" t="s">
        <v>307</v>
      </c>
      <c r="E9" s="90"/>
      <c r="G9" s="90"/>
      <c r="H9" s="99" t="s">
        <v>21</v>
      </c>
      <c r="I9" s="96">
        <v>400</v>
      </c>
      <c r="J9" s="90"/>
      <c r="L9" s="90"/>
      <c r="M9" s="97" t="s">
        <v>21</v>
      </c>
      <c r="N9" s="91">
        <v>0</v>
      </c>
      <c r="O9" s="90"/>
      <c r="Q9" s="1"/>
      <c r="R9" s="1"/>
      <c r="S9" s="1"/>
      <c r="T9" s="1"/>
      <c r="U9" s="101"/>
      <c r="V9" s="1"/>
      <c r="W9" s="1"/>
      <c r="X9" s="1"/>
      <c r="Y9" s="1"/>
    </row>
    <row r="10" spans="2:25" s="100" customFormat="1" ht="16.5" hidden="1" customHeight="1" x14ac:dyDescent="0.25">
      <c r="B10" s="90"/>
      <c r="C10" s="126" t="s">
        <v>11</v>
      </c>
      <c r="D10" s="157" t="str">
        <f ca="1">IFERROR(VLOOKUP("Account Number",Control!C:E,3,0)&amp;TEXT(TODAY(),"yyyymmdd"),"Review")</f>
        <v>20220417</v>
      </c>
      <c r="E10" s="90"/>
      <c r="G10" s="90"/>
      <c r="H10" s="97" t="s">
        <v>59</v>
      </c>
      <c r="I10" s="92">
        <f>I8*I9*24</f>
        <v>236640</v>
      </c>
      <c r="J10" s="90"/>
      <c r="L10" s="90"/>
      <c r="M10" s="97" t="s">
        <v>60</v>
      </c>
      <c r="N10" s="91"/>
      <c r="O10" s="90"/>
      <c r="P10" s="101"/>
      <c r="Q10" s="101"/>
      <c r="R10" s="101"/>
      <c r="S10" s="101"/>
      <c r="T10" s="101"/>
      <c r="U10" s="101"/>
      <c r="V10" s="101"/>
      <c r="W10" s="101"/>
      <c r="X10" s="101"/>
      <c r="Y10" s="101"/>
    </row>
    <row r="11" spans="2:25" s="100" customFormat="1" hidden="1" x14ac:dyDescent="0.25">
      <c r="B11" s="90"/>
      <c r="C11" s="126" t="s">
        <v>25</v>
      </c>
      <c r="D11" s="175">
        <f ca="1">TODAY()</f>
        <v>44668</v>
      </c>
      <c r="E11" s="90"/>
      <c r="G11" s="90"/>
      <c r="H11" s="97"/>
      <c r="I11" s="94"/>
      <c r="J11" s="90"/>
      <c r="L11" s="90"/>
      <c r="M11" s="97"/>
      <c r="N11" s="94"/>
      <c r="O11" s="90"/>
      <c r="Q11" s="101"/>
      <c r="R11" s="101"/>
      <c r="S11" s="101"/>
      <c r="T11" s="101"/>
      <c r="U11" s="101"/>
      <c r="V11" s="101"/>
      <c r="W11" s="101"/>
      <c r="X11" s="101"/>
      <c r="Y11" s="101"/>
    </row>
    <row r="12" spans="2:25" s="100" customFormat="1" ht="17.25" hidden="1" customHeight="1" thickBot="1" x14ac:dyDescent="0.3">
      <c r="B12" s="90"/>
      <c r="C12" s="127" t="s">
        <v>306</v>
      </c>
      <c r="D12" s="158" t="str" cm="1">
        <f t="array" aca="1" ref="D12" ca="1">IFERROR(VLOOKUP("BAN Name",Control!C:E,3,0),"Review")&amp;" "&amp;IFERROR(VLOOKUP("Invoice Number",'Invoice Details'!C:D,2,0),Review)</f>
        <v xml:space="preserve"> 20220417</v>
      </c>
      <c r="E12" s="90"/>
      <c r="G12" s="90"/>
      <c r="H12" s="173"/>
      <c r="I12" s="174"/>
      <c r="J12" s="90"/>
      <c r="L12" s="90"/>
      <c r="M12" s="173"/>
      <c r="N12" s="174"/>
      <c r="O12" s="90"/>
      <c r="Q12" s="101"/>
      <c r="R12" s="101"/>
      <c r="S12" s="101"/>
      <c r="T12" s="101"/>
      <c r="U12" s="101"/>
      <c r="V12" s="101"/>
      <c r="W12" s="101"/>
      <c r="X12" s="101"/>
      <c r="Y12" s="101"/>
    </row>
    <row r="13" spans="2:25" x14ac:dyDescent="0.25">
      <c r="B13" s="1"/>
      <c r="C13" s="1"/>
      <c r="D13" s="1"/>
      <c r="E13" s="1"/>
      <c r="G13" s="1"/>
      <c r="H13" s="1"/>
      <c r="I13" s="1"/>
      <c r="J13" s="1"/>
      <c r="L13" s="1"/>
      <c r="M13" s="1"/>
      <c r="N13" s="1"/>
      <c r="O13" s="1"/>
    </row>
  </sheetData>
  <mergeCells count="5">
    <mergeCell ref="R3:S3"/>
    <mergeCell ref="W3:X3"/>
    <mergeCell ref="C3:D3"/>
    <mergeCell ref="H3:I3"/>
    <mergeCell ref="M3:N3"/>
  </mergeCells>
  <dataValidations count="3">
    <dataValidation type="list" allowBlank="1" showInputMessage="1" showErrorMessage="1" sqref="D5 X13" xr:uid="{9AAFFF37-264C-4B96-BBCA-14D20D5D4BF5}">
      <formula1>"Services, Equipment, Services and Equipment"</formula1>
    </dataValidation>
    <dataValidation type="list" allowBlank="1" showInputMessage="1" showErrorMessage="1" sqref="D9 T13 Y13" xr:uid="{D492FB8B-CE5D-43C2-8606-B6E9BD6FB68A}">
      <formula1>"12 Months, 24 Months"</formula1>
    </dataValidation>
    <dataValidation type="list" allowBlank="1" showInputMessage="1" showErrorMessage="1" sqref="I5 N5" xr:uid="{A62F79DD-F17E-45BE-B1ED-28E386BB7C65}">
      <formula1>"0,1,2,3,4,5,6,7,8,9,10"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09F25-1CD5-47D9-A953-BF28DC2ABB4D}">
  <sheetPr codeName="Sheet12">
    <tabColor rgb="FF002060"/>
  </sheetPr>
  <dimension ref="B2:P62"/>
  <sheetViews>
    <sheetView workbookViewId="0">
      <selection activeCell="X8" sqref="X8"/>
    </sheetView>
  </sheetViews>
  <sheetFormatPr defaultRowHeight="15" x14ac:dyDescent="0.25"/>
  <cols>
    <col min="1" max="2" width="2.85546875" style="101" customWidth="1"/>
    <col min="3" max="3" width="2.85546875" style="101" hidden="1" customWidth="1"/>
    <col min="4" max="4" width="23" style="101" bestFit="1" customWidth="1"/>
    <col min="5" max="5" width="21.140625" style="101" bestFit="1" customWidth="1"/>
    <col min="6" max="6" width="2.85546875" style="101" customWidth="1"/>
    <col min="7" max="8" width="2.85546875" style="101" hidden="1" customWidth="1"/>
    <col min="9" max="9" width="20.140625" style="101" hidden="1" customWidth="1"/>
    <col min="10" max="10" width="28.140625" style="101" hidden="1" customWidth="1"/>
    <col min="11" max="13" width="2.85546875" style="101" hidden="1" customWidth="1"/>
    <col min="14" max="14" width="20" style="101" hidden="1" customWidth="1"/>
    <col min="15" max="15" width="19.5703125" style="101" hidden="1" customWidth="1"/>
    <col min="16" max="16" width="2.85546875" style="101" hidden="1" customWidth="1"/>
    <col min="17" max="17" width="2.85546875" style="101" customWidth="1"/>
    <col min="18" max="16384" width="9.140625" style="101"/>
  </cols>
  <sheetData>
    <row r="2" spans="2:16" ht="15.75" thickBot="1" x14ac:dyDescent="0.3">
      <c r="B2" s="1"/>
      <c r="C2" s="1"/>
      <c r="D2" s="1"/>
      <c r="E2" s="1"/>
      <c r="F2" s="1"/>
      <c r="H2" s="1"/>
      <c r="I2" s="1"/>
      <c r="J2" s="1"/>
      <c r="K2" s="1"/>
      <c r="M2" s="1"/>
      <c r="N2" s="1"/>
      <c r="O2" s="1"/>
      <c r="P2" s="1"/>
    </row>
    <row r="3" spans="2:16" ht="15.75" thickBot="1" x14ac:dyDescent="0.3">
      <c r="B3" s="1"/>
      <c r="C3" s="1"/>
      <c r="D3" s="231" t="s">
        <v>73</v>
      </c>
      <c r="E3" s="232"/>
      <c r="F3" s="1"/>
      <c r="H3" s="1"/>
      <c r="I3" s="229" t="s">
        <v>74</v>
      </c>
      <c r="J3" s="230"/>
      <c r="K3" s="1"/>
      <c r="M3" s="1"/>
      <c r="N3" s="229" t="s">
        <v>75</v>
      </c>
      <c r="O3" s="230"/>
      <c r="P3" s="1"/>
    </row>
    <row r="4" spans="2:16" ht="15" customHeight="1" thickBot="1" x14ac:dyDescent="0.3">
      <c r="B4" s="1"/>
      <c r="C4" s="1"/>
      <c r="D4" s="1"/>
      <c r="E4" s="1"/>
      <c r="F4" s="1"/>
      <c r="H4" s="1"/>
      <c r="I4" s="1"/>
      <c r="J4" s="1"/>
      <c r="K4" s="1"/>
      <c r="M4" s="1"/>
      <c r="N4" s="1"/>
      <c r="O4" s="1"/>
      <c r="P4" s="1"/>
    </row>
    <row r="5" spans="2:16" s="100" customFormat="1" x14ac:dyDescent="0.25">
      <c r="B5" s="90"/>
      <c r="C5" s="90"/>
      <c r="D5" s="125" t="s">
        <v>255</v>
      </c>
      <c r="E5" s="162"/>
      <c r="F5" s="90"/>
      <c r="H5" s="90"/>
      <c r="I5" s="98" t="s">
        <v>18</v>
      </c>
      <c r="J5" s="93">
        <v>1</v>
      </c>
      <c r="K5" s="90"/>
      <c r="M5" s="90"/>
      <c r="N5" s="98" t="s">
        <v>19</v>
      </c>
      <c r="O5" s="93">
        <v>0</v>
      </c>
      <c r="P5" s="90"/>
    </row>
    <row r="6" spans="2:16" s="100" customFormat="1" x14ac:dyDescent="0.25">
      <c r="B6" s="90"/>
      <c r="C6" s="90"/>
      <c r="D6" s="126" t="s">
        <v>16</v>
      </c>
      <c r="E6" s="166"/>
      <c r="F6" s="90"/>
      <c r="H6" s="90"/>
      <c r="I6" s="98" t="s">
        <v>55</v>
      </c>
      <c r="J6" s="93" t="s">
        <v>56</v>
      </c>
      <c r="K6" s="90"/>
      <c r="M6" s="90"/>
      <c r="N6" s="98" t="s">
        <v>55</v>
      </c>
      <c r="O6" s="47"/>
      <c r="P6" s="90"/>
    </row>
    <row r="7" spans="2:16" s="100" customFormat="1" ht="15.75" thickBot="1" x14ac:dyDescent="0.3">
      <c r="B7" s="90"/>
      <c r="C7" s="90"/>
      <c r="D7" s="127" t="s">
        <v>17</v>
      </c>
      <c r="E7" s="167"/>
      <c r="F7" s="90"/>
      <c r="H7" s="90"/>
      <c r="I7" s="98" t="s">
        <v>26</v>
      </c>
      <c r="J7" s="95" t="s">
        <v>51</v>
      </c>
      <c r="K7" s="90"/>
      <c r="M7" s="90"/>
      <c r="N7" s="98" t="s">
        <v>26</v>
      </c>
      <c r="O7" s="47"/>
      <c r="P7" s="90"/>
    </row>
    <row r="8" spans="2:16" s="100" customFormat="1" ht="15.75" thickBot="1" x14ac:dyDescent="0.3">
      <c r="B8" s="1"/>
      <c r="C8" s="1"/>
      <c r="D8" s="1"/>
      <c r="E8" s="1"/>
      <c r="F8" s="1"/>
      <c r="H8" s="90"/>
      <c r="I8" s="97" t="s">
        <v>20</v>
      </c>
      <c r="J8" s="95">
        <v>24.65</v>
      </c>
      <c r="K8" s="90"/>
      <c r="M8" s="90"/>
      <c r="N8" s="97" t="s">
        <v>20</v>
      </c>
      <c r="O8" s="48">
        <v>0</v>
      </c>
      <c r="P8" s="90"/>
    </row>
    <row r="9" spans="2:16" s="100" customFormat="1" ht="15.75" thickBot="1" x14ac:dyDescent="0.3">
      <c r="B9" s="90"/>
      <c r="C9" s="90"/>
      <c r="D9" s="136" t="s">
        <v>78</v>
      </c>
      <c r="E9" s="168">
        <v>0</v>
      </c>
      <c r="F9" s="90"/>
      <c r="H9" s="90"/>
      <c r="I9" s="99" t="s">
        <v>21</v>
      </c>
      <c r="J9" s="96">
        <v>400</v>
      </c>
      <c r="K9" s="90"/>
      <c r="M9" s="90"/>
      <c r="N9" s="97" t="s">
        <v>21</v>
      </c>
      <c r="O9" s="91">
        <v>0</v>
      </c>
      <c r="P9" s="90"/>
    </row>
    <row r="10" spans="2:16" ht="15.75" thickBot="1" x14ac:dyDescent="0.3">
      <c r="B10" s="1"/>
      <c r="C10" s="1"/>
      <c r="D10" s="1"/>
      <c r="E10" s="1"/>
      <c r="F10" s="1"/>
      <c r="H10" s="1"/>
      <c r="I10" s="1"/>
      <c r="J10" s="1"/>
      <c r="K10" s="1"/>
      <c r="M10" s="1"/>
      <c r="N10" s="1"/>
      <c r="O10" s="1"/>
      <c r="P10" s="1"/>
    </row>
    <row r="11" spans="2:16" hidden="1" x14ac:dyDescent="0.25">
      <c r="B11" s="90"/>
      <c r="C11" s="1" t="s">
        <v>92</v>
      </c>
      <c r="D11" s="125" t="s">
        <v>79</v>
      </c>
      <c r="E11" s="162"/>
      <c r="F11" s="90"/>
    </row>
    <row r="12" spans="2:16" hidden="1" x14ac:dyDescent="0.25">
      <c r="B12" s="90"/>
      <c r="C12" s="1" t="s">
        <v>93</v>
      </c>
      <c r="D12" s="126" t="s">
        <v>80</v>
      </c>
      <c r="E12" s="179"/>
      <c r="F12" s="90"/>
    </row>
    <row r="13" spans="2:16" hidden="1" x14ac:dyDescent="0.25">
      <c r="B13" s="90"/>
      <c r="C13" s="1" t="s">
        <v>94</v>
      </c>
      <c r="D13" s="126" t="s">
        <v>81</v>
      </c>
      <c r="E13" s="180"/>
      <c r="F13" s="90"/>
    </row>
    <row r="14" spans="2:16" ht="15.75" hidden="1" thickBot="1" x14ac:dyDescent="0.3">
      <c r="B14" s="90"/>
      <c r="C14" s="1" t="s">
        <v>95</v>
      </c>
      <c r="D14" s="127" t="s">
        <v>82</v>
      </c>
      <c r="E14" s="186">
        <f>E13*E12</f>
        <v>0</v>
      </c>
      <c r="F14" s="90"/>
    </row>
    <row r="15" spans="2:16" ht="15.75" hidden="1" thickBot="1" x14ac:dyDescent="0.3">
      <c r="B15" s="1"/>
      <c r="C15" s="1"/>
      <c r="D15" s="1"/>
      <c r="E15" s="1"/>
      <c r="F15" s="1"/>
    </row>
    <row r="16" spans="2:16" hidden="1" x14ac:dyDescent="0.25">
      <c r="B16" s="90"/>
      <c r="C16" s="1" t="s">
        <v>96</v>
      </c>
      <c r="D16" s="125" t="s">
        <v>83</v>
      </c>
      <c r="E16" s="162"/>
      <c r="F16" s="90"/>
    </row>
    <row r="17" spans="2:6" hidden="1" x14ac:dyDescent="0.25">
      <c r="B17" s="90"/>
      <c r="C17" s="1" t="s">
        <v>97</v>
      </c>
      <c r="D17" s="126" t="s">
        <v>80</v>
      </c>
      <c r="E17" s="179"/>
      <c r="F17" s="90"/>
    </row>
    <row r="18" spans="2:6" hidden="1" x14ac:dyDescent="0.25">
      <c r="B18" s="90"/>
      <c r="C18" s="1" t="s">
        <v>98</v>
      </c>
      <c r="D18" s="126" t="s">
        <v>81</v>
      </c>
      <c r="E18" s="180"/>
      <c r="F18" s="90"/>
    </row>
    <row r="19" spans="2:6" ht="15.75" hidden="1" thickBot="1" x14ac:dyDescent="0.3">
      <c r="B19" s="90"/>
      <c r="C19" s="1" t="s">
        <v>99</v>
      </c>
      <c r="D19" s="127" t="s">
        <v>82</v>
      </c>
      <c r="E19" s="186">
        <f>E18*E17</f>
        <v>0</v>
      </c>
      <c r="F19" s="90"/>
    </row>
    <row r="20" spans="2:6" ht="15.75" hidden="1" thickBot="1" x14ac:dyDescent="0.3">
      <c r="B20" s="1"/>
      <c r="C20" s="1"/>
      <c r="D20" s="1"/>
      <c r="E20" s="1"/>
      <c r="F20" s="1"/>
    </row>
    <row r="21" spans="2:6" hidden="1" x14ac:dyDescent="0.25">
      <c r="B21" s="90"/>
      <c r="C21" s="1" t="s">
        <v>100</v>
      </c>
      <c r="D21" s="125" t="s">
        <v>84</v>
      </c>
      <c r="E21" s="162"/>
      <c r="F21" s="90"/>
    </row>
    <row r="22" spans="2:6" hidden="1" x14ac:dyDescent="0.25">
      <c r="B22" s="90"/>
      <c r="C22" s="1" t="s">
        <v>101</v>
      </c>
      <c r="D22" s="126" t="s">
        <v>80</v>
      </c>
      <c r="E22" s="179"/>
      <c r="F22" s="90"/>
    </row>
    <row r="23" spans="2:6" hidden="1" x14ac:dyDescent="0.25">
      <c r="B23" s="90"/>
      <c r="C23" s="1" t="s">
        <v>102</v>
      </c>
      <c r="D23" s="126" t="s">
        <v>81</v>
      </c>
      <c r="E23" s="180"/>
      <c r="F23" s="90"/>
    </row>
    <row r="24" spans="2:6" ht="15.75" hidden="1" thickBot="1" x14ac:dyDescent="0.3">
      <c r="B24" s="90"/>
      <c r="C24" s="1" t="s">
        <v>103</v>
      </c>
      <c r="D24" s="127" t="s">
        <v>82</v>
      </c>
      <c r="E24" s="186">
        <f>E23*E22</f>
        <v>0</v>
      </c>
      <c r="F24" s="90"/>
    </row>
    <row r="25" spans="2:6" ht="15.75" hidden="1" thickBot="1" x14ac:dyDescent="0.3">
      <c r="B25" s="1"/>
      <c r="C25" s="1"/>
      <c r="D25" s="1"/>
      <c r="E25" s="1"/>
      <c r="F25" s="1"/>
    </row>
    <row r="26" spans="2:6" hidden="1" x14ac:dyDescent="0.25">
      <c r="B26" s="90"/>
      <c r="C26" s="1" t="s">
        <v>104</v>
      </c>
      <c r="D26" s="125" t="s">
        <v>85</v>
      </c>
      <c r="E26" s="162"/>
      <c r="F26" s="90"/>
    </row>
    <row r="27" spans="2:6" hidden="1" x14ac:dyDescent="0.25">
      <c r="B27" s="90"/>
      <c r="C27" s="1" t="s">
        <v>105</v>
      </c>
      <c r="D27" s="126" t="s">
        <v>80</v>
      </c>
      <c r="E27" s="179"/>
      <c r="F27" s="90"/>
    </row>
    <row r="28" spans="2:6" hidden="1" x14ac:dyDescent="0.25">
      <c r="B28" s="90"/>
      <c r="C28" s="1" t="s">
        <v>106</v>
      </c>
      <c r="D28" s="126" t="s">
        <v>81</v>
      </c>
      <c r="E28" s="180"/>
      <c r="F28" s="90"/>
    </row>
    <row r="29" spans="2:6" ht="15.75" hidden="1" thickBot="1" x14ac:dyDescent="0.3">
      <c r="B29" s="90"/>
      <c r="C29" s="1" t="s">
        <v>107</v>
      </c>
      <c r="D29" s="127" t="s">
        <v>82</v>
      </c>
      <c r="E29" s="186">
        <f>E28*E27</f>
        <v>0</v>
      </c>
      <c r="F29" s="90"/>
    </row>
    <row r="30" spans="2:6" ht="15.75" hidden="1" thickBot="1" x14ac:dyDescent="0.3">
      <c r="B30" s="1"/>
      <c r="C30" s="1"/>
      <c r="D30" s="1"/>
      <c r="E30" s="1"/>
      <c r="F30" s="1"/>
    </row>
    <row r="31" spans="2:6" hidden="1" x14ac:dyDescent="0.25">
      <c r="B31" s="90"/>
      <c r="C31" s="1" t="s">
        <v>108</v>
      </c>
      <c r="D31" s="125" t="s">
        <v>86</v>
      </c>
      <c r="E31" s="162"/>
      <c r="F31" s="90"/>
    </row>
    <row r="32" spans="2:6" hidden="1" x14ac:dyDescent="0.25">
      <c r="B32" s="90"/>
      <c r="C32" s="1" t="s">
        <v>109</v>
      </c>
      <c r="D32" s="126" t="s">
        <v>80</v>
      </c>
      <c r="E32" s="179"/>
      <c r="F32" s="90"/>
    </row>
    <row r="33" spans="2:6" hidden="1" x14ac:dyDescent="0.25">
      <c r="B33" s="90"/>
      <c r="C33" s="1" t="s">
        <v>110</v>
      </c>
      <c r="D33" s="126" t="s">
        <v>81</v>
      </c>
      <c r="E33" s="180"/>
      <c r="F33" s="90"/>
    </row>
    <row r="34" spans="2:6" ht="15.75" hidden="1" thickBot="1" x14ac:dyDescent="0.3">
      <c r="B34" s="90"/>
      <c r="C34" s="1" t="s">
        <v>111</v>
      </c>
      <c r="D34" s="127" t="s">
        <v>82</v>
      </c>
      <c r="E34" s="186">
        <f>E33*E32</f>
        <v>0</v>
      </c>
      <c r="F34" s="90"/>
    </row>
    <row r="35" spans="2:6" ht="15.75" hidden="1" thickBot="1" x14ac:dyDescent="0.3">
      <c r="B35" s="1"/>
      <c r="C35" s="1"/>
      <c r="D35" s="1"/>
      <c r="E35" s="1"/>
      <c r="F35" s="1"/>
    </row>
    <row r="36" spans="2:6" hidden="1" x14ac:dyDescent="0.25">
      <c r="B36" s="90"/>
      <c r="C36" s="1" t="s">
        <v>112</v>
      </c>
      <c r="D36" s="125" t="s">
        <v>87</v>
      </c>
      <c r="E36" s="162"/>
      <c r="F36" s="90"/>
    </row>
    <row r="37" spans="2:6" hidden="1" x14ac:dyDescent="0.25">
      <c r="B37" s="90"/>
      <c r="C37" s="1" t="s">
        <v>113</v>
      </c>
      <c r="D37" s="126" t="s">
        <v>80</v>
      </c>
      <c r="E37" s="179"/>
      <c r="F37" s="90"/>
    </row>
    <row r="38" spans="2:6" hidden="1" x14ac:dyDescent="0.25">
      <c r="B38" s="90"/>
      <c r="C38" s="1" t="s">
        <v>114</v>
      </c>
      <c r="D38" s="126" t="s">
        <v>81</v>
      </c>
      <c r="E38" s="180"/>
      <c r="F38" s="90"/>
    </row>
    <row r="39" spans="2:6" ht="15.75" hidden="1" thickBot="1" x14ac:dyDescent="0.3">
      <c r="B39" s="90"/>
      <c r="C39" s="1" t="s">
        <v>115</v>
      </c>
      <c r="D39" s="127" t="s">
        <v>82</v>
      </c>
      <c r="E39" s="186">
        <f>E38*E37</f>
        <v>0</v>
      </c>
      <c r="F39" s="90"/>
    </row>
    <row r="40" spans="2:6" ht="15.75" hidden="1" thickBot="1" x14ac:dyDescent="0.3">
      <c r="B40" s="1"/>
      <c r="C40" s="1"/>
      <c r="D40" s="1"/>
      <c r="E40" s="1"/>
      <c r="F40" s="1"/>
    </row>
    <row r="41" spans="2:6" hidden="1" x14ac:dyDescent="0.25">
      <c r="B41" s="90"/>
      <c r="C41" s="1" t="s">
        <v>116</v>
      </c>
      <c r="D41" s="125" t="s">
        <v>88</v>
      </c>
      <c r="E41" s="162"/>
      <c r="F41" s="90"/>
    </row>
    <row r="42" spans="2:6" hidden="1" x14ac:dyDescent="0.25">
      <c r="B42" s="90"/>
      <c r="C42" s="1" t="s">
        <v>117</v>
      </c>
      <c r="D42" s="126" t="s">
        <v>80</v>
      </c>
      <c r="E42" s="179"/>
      <c r="F42" s="90"/>
    </row>
    <row r="43" spans="2:6" hidden="1" x14ac:dyDescent="0.25">
      <c r="B43" s="90"/>
      <c r="C43" s="1" t="s">
        <v>118</v>
      </c>
      <c r="D43" s="126" t="s">
        <v>81</v>
      </c>
      <c r="E43" s="180"/>
      <c r="F43" s="90"/>
    </row>
    <row r="44" spans="2:6" ht="15.75" hidden="1" thickBot="1" x14ac:dyDescent="0.3">
      <c r="B44" s="90"/>
      <c r="C44" s="1" t="s">
        <v>119</v>
      </c>
      <c r="D44" s="127" t="s">
        <v>82</v>
      </c>
      <c r="E44" s="186">
        <f>E43*E42</f>
        <v>0</v>
      </c>
      <c r="F44" s="90"/>
    </row>
    <row r="45" spans="2:6" ht="15.75" hidden="1" thickBot="1" x14ac:dyDescent="0.3">
      <c r="B45" s="1"/>
      <c r="C45" s="1"/>
      <c r="D45" s="1"/>
      <c r="E45" s="1"/>
      <c r="F45" s="1"/>
    </row>
    <row r="46" spans="2:6" hidden="1" x14ac:dyDescent="0.25">
      <c r="B46" s="90"/>
      <c r="C46" s="1" t="s">
        <v>120</v>
      </c>
      <c r="D46" s="125" t="s">
        <v>89</v>
      </c>
      <c r="E46" s="162"/>
      <c r="F46" s="90"/>
    </row>
    <row r="47" spans="2:6" hidden="1" x14ac:dyDescent="0.25">
      <c r="B47" s="90"/>
      <c r="C47" s="1" t="s">
        <v>121</v>
      </c>
      <c r="D47" s="126" t="s">
        <v>80</v>
      </c>
      <c r="E47" s="179"/>
      <c r="F47" s="90"/>
    </row>
    <row r="48" spans="2:6" hidden="1" x14ac:dyDescent="0.25">
      <c r="B48" s="90"/>
      <c r="C48" s="1" t="s">
        <v>122</v>
      </c>
      <c r="D48" s="126" t="s">
        <v>81</v>
      </c>
      <c r="E48" s="180"/>
      <c r="F48" s="90"/>
    </row>
    <row r="49" spans="2:6" ht="15.75" hidden="1" thickBot="1" x14ac:dyDescent="0.3">
      <c r="B49" s="90"/>
      <c r="C49" s="1" t="s">
        <v>123</v>
      </c>
      <c r="D49" s="127" t="s">
        <v>82</v>
      </c>
      <c r="E49" s="186">
        <f>E48*E47</f>
        <v>0</v>
      </c>
      <c r="F49" s="90"/>
    </row>
    <row r="50" spans="2:6" ht="15.75" hidden="1" thickBot="1" x14ac:dyDescent="0.3">
      <c r="B50" s="1"/>
      <c r="C50" s="1"/>
      <c r="D50" s="1"/>
      <c r="E50" s="1"/>
      <c r="F50" s="1"/>
    </row>
    <row r="51" spans="2:6" hidden="1" x14ac:dyDescent="0.25">
      <c r="B51" s="90"/>
      <c r="C51" s="1" t="s">
        <v>124</v>
      </c>
      <c r="D51" s="125" t="s">
        <v>90</v>
      </c>
      <c r="E51" s="162"/>
      <c r="F51" s="90"/>
    </row>
    <row r="52" spans="2:6" hidden="1" x14ac:dyDescent="0.25">
      <c r="B52" s="90"/>
      <c r="C52" s="1" t="s">
        <v>125</v>
      </c>
      <c r="D52" s="126" t="s">
        <v>80</v>
      </c>
      <c r="E52" s="179"/>
      <c r="F52" s="90"/>
    </row>
    <row r="53" spans="2:6" hidden="1" x14ac:dyDescent="0.25">
      <c r="B53" s="90"/>
      <c r="C53" s="1" t="s">
        <v>126</v>
      </c>
      <c r="D53" s="126" t="s">
        <v>81</v>
      </c>
      <c r="E53" s="180"/>
      <c r="F53" s="90"/>
    </row>
    <row r="54" spans="2:6" ht="15.75" hidden="1" thickBot="1" x14ac:dyDescent="0.3">
      <c r="B54" s="90"/>
      <c r="C54" s="1" t="s">
        <v>127</v>
      </c>
      <c r="D54" s="127" t="s">
        <v>82</v>
      </c>
      <c r="E54" s="186">
        <f>E53*E52</f>
        <v>0</v>
      </c>
      <c r="F54" s="90"/>
    </row>
    <row r="55" spans="2:6" ht="15.75" hidden="1" thickBot="1" x14ac:dyDescent="0.3">
      <c r="B55" s="1"/>
      <c r="C55" s="1"/>
      <c r="D55" s="1"/>
      <c r="E55" s="1"/>
      <c r="F55" s="1"/>
    </row>
    <row r="56" spans="2:6" hidden="1" x14ac:dyDescent="0.25">
      <c r="B56" s="90"/>
      <c r="C56" s="1" t="s">
        <v>128</v>
      </c>
      <c r="D56" s="125" t="s">
        <v>91</v>
      </c>
      <c r="E56" s="162"/>
      <c r="F56" s="90"/>
    </row>
    <row r="57" spans="2:6" hidden="1" x14ac:dyDescent="0.25">
      <c r="B57" s="90"/>
      <c r="C57" s="1" t="s">
        <v>129</v>
      </c>
      <c r="D57" s="126" t="s">
        <v>80</v>
      </c>
      <c r="E57" s="179"/>
      <c r="F57" s="90"/>
    </row>
    <row r="58" spans="2:6" hidden="1" x14ac:dyDescent="0.25">
      <c r="B58" s="90"/>
      <c r="C58" s="1" t="s">
        <v>130</v>
      </c>
      <c r="D58" s="126" t="s">
        <v>81</v>
      </c>
      <c r="E58" s="180"/>
      <c r="F58" s="90"/>
    </row>
    <row r="59" spans="2:6" ht="15.75" hidden="1" thickBot="1" x14ac:dyDescent="0.3">
      <c r="B59" s="90"/>
      <c r="C59" s="1" t="s">
        <v>131</v>
      </c>
      <c r="D59" s="127" t="s">
        <v>82</v>
      </c>
      <c r="E59" s="186">
        <f>E58*E57</f>
        <v>0</v>
      </c>
      <c r="F59" s="90"/>
    </row>
    <row r="60" spans="2:6" ht="15.75" hidden="1" thickBot="1" x14ac:dyDescent="0.3">
      <c r="B60" s="1"/>
      <c r="C60" s="1"/>
      <c r="D60" s="1"/>
      <c r="E60" s="1"/>
      <c r="F60" s="1"/>
    </row>
    <row r="61" spans="2:6" ht="15.75" thickBot="1" x14ac:dyDescent="0.3">
      <c r="B61" s="90"/>
      <c r="C61" s="1"/>
      <c r="D61" s="136" t="s">
        <v>232</v>
      </c>
      <c r="E61" s="183">
        <f>SUM(E14,E19,E24,E29,E34,E39,E44,E49,E54,E59)</f>
        <v>0</v>
      </c>
      <c r="F61" s="90"/>
    </row>
    <row r="62" spans="2:6" x14ac:dyDescent="0.25">
      <c r="B62" s="1"/>
      <c r="C62" s="1"/>
      <c r="D62" s="1"/>
      <c r="E62" s="1"/>
      <c r="F62" s="1"/>
    </row>
  </sheetData>
  <mergeCells count="3">
    <mergeCell ref="D3:E3"/>
    <mergeCell ref="I3:J3"/>
    <mergeCell ref="N3:O3"/>
  </mergeCells>
  <dataValidations count="3">
    <dataValidation type="list" allowBlank="1" showInputMessage="1" showErrorMessage="1" sqref="J5 O5 E9" xr:uid="{E9ACE9EA-060C-469C-B3A5-39828ECA1386}">
      <formula1>"0,1,2,3,4,5,6,7,8,9,10"</formula1>
    </dataValidation>
    <dataValidation type="list" allowBlank="1" showInputMessage="1" showErrorMessage="1" sqref="K10 P10" xr:uid="{E2CD613C-FA88-4920-B05D-F45C05CA2D26}">
      <formula1>"12 Months, 24 Months"</formula1>
    </dataValidation>
    <dataValidation type="list" allowBlank="1" showInputMessage="1" showErrorMessage="1" sqref="J10 O10" xr:uid="{9679AB95-1C1A-4477-97E1-6279498A38A9}">
      <formula1>"Services, Equipment, Services and Equipment"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CBFF0-C565-4EB9-A97C-27333806F51D}">
  <sheetPr codeName="Sheet3">
    <tabColor rgb="FF002060"/>
  </sheetPr>
  <dimension ref="B2:L78"/>
  <sheetViews>
    <sheetView workbookViewId="0">
      <selection activeCell="X8" sqref="X8"/>
    </sheetView>
  </sheetViews>
  <sheetFormatPr defaultRowHeight="15" x14ac:dyDescent="0.25"/>
  <cols>
    <col min="1" max="2" width="2.85546875" style="2" customWidth="1"/>
    <col min="3" max="3" width="16" style="2" hidden="1" customWidth="1"/>
    <col min="4" max="4" width="34" style="2" bestFit="1" customWidth="1"/>
    <col min="5" max="5" width="29.28515625" style="2" customWidth="1"/>
    <col min="6" max="8" width="2.85546875" style="2" customWidth="1"/>
    <col min="9" max="9" width="13" style="2" hidden="1" customWidth="1"/>
    <col min="10" max="10" width="42.7109375" style="2" bestFit="1" customWidth="1"/>
    <col min="11" max="11" width="9.140625" style="2"/>
    <col min="12" max="12" width="2.85546875" style="2" customWidth="1"/>
    <col min="13" max="16384" width="9.140625" style="2"/>
  </cols>
  <sheetData>
    <row r="2" spans="2:12" ht="15.75" thickBot="1" x14ac:dyDescent="0.3">
      <c r="B2" s="1"/>
      <c r="C2" s="1"/>
      <c r="D2" s="1"/>
      <c r="E2" s="1"/>
      <c r="F2" s="1"/>
      <c r="H2" s="1"/>
      <c r="I2" s="1"/>
      <c r="J2" s="1"/>
      <c r="K2" s="1"/>
      <c r="L2" s="1"/>
    </row>
    <row r="3" spans="2:12" ht="15.75" thickBot="1" x14ac:dyDescent="0.3">
      <c r="B3" s="1"/>
      <c r="C3" s="1"/>
      <c r="D3" s="231" t="s">
        <v>74</v>
      </c>
      <c r="E3" s="232"/>
      <c r="F3" s="1"/>
      <c r="H3" s="1"/>
      <c r="I3" s="1"/>
      <c r="J3" s="231" t="s">
        <v>76</v>
      </c>
      <c r="K3" s="232"/>
      <c r="L3" s="1"/>
    </row>
    <row r="4" spans="2:12" ht="15.75" thickBot="1" x14ac:dyDescent="0.3">
      <c r="B4" s="1"/>
      <c r="C4" s="1"/>
      <c r="D4" s="1"/>
      <c r="E4" s="1"/>
      <c r="F4" s="1"/>
      <c r="H4" s="1"/>
      <c r="I4" s="1"/>
      <c r="J4" s="1"/>
      <c r="K4" s="1"/>
      <c r="L4" s="1"/>
    </row>
    <row r="5" spans="2:12" ht="15.75" thickBot="1" x14ac:dyDescent="0.3">
      <c r="B5" s="1"/>
      <c r="C5" s="1"/>
      <c r="D5" s="131" t="s">
        <v>18</v>
      </c>
      <c r="E5" s="169">
        <v>0</v>
      </c>
      <c r="F5" s="1"/>
      <c r="H5" s="1"/>
      <c r="I5" s="1"/>
      <c r="J5" s="235" t="s">
        <v>304</v>
      </c>
      <c r="K5" s="236"/>
      <c r="L5" s="1"/>
    </row>
    <row r="6" spans="2:12" ht="15.75" hidden="1" thickBot="1" x14ac:dyDescent="0.3">
      <c r="B6" s="1"/>
      <c r="C6" s="1"/>
      <c r="D6" s="1"/>
      <c r="E6" s="1"/>
      <c r="F6" s="1"/>
      <c r="H6" s="1"/>
      <c r="I6" s="1"/>
      <c r="J6" s="1"/>
      <c r="K6" s="1"/>
      <c r="L6" s="1"/>
    </row>
    <row r="7" spans="2:12" hidden="1" x14ac:dyDescent="0.25">
      <c r="B7" s="1"/>
      <c r="C7" s="1" t="s">
        <v>132</v>
      </c>
      <c r="D7" s="133" t="s">
        <v>55</v>
      </c>
      <c r="E7" s="170"/>
      <c r="F7" s="1"/>
      <c r="H7" s="1"/>
      <c r="I7" s="1"/>
      <c r="J7" s="237" t="s">
        <v>305</v>
      </c>
      <c r="K7" s="238"/>
      <c r="L7" s="1"/>
    </row>
    <row r="8" spans="2:12" hidden="1" x14ac:dyDescent="0.25">
      <c r="B8" s="1"/>
      <c r="C8" s="1" t="s">
        <v>133</v>
      </c>
      <c r="D8" s="88" t="s">
        <v>26</v>
      </c>
      <c r="E8" s="171"/>
      <c r="F8" s="1"/>
      <c r="H8" s="1"/>
      <c r="I8" s="1"/>
      <c r="J8" s="233" t="s">
        <v>305</v>
      </c>
      <c r="K8" s="234"/>
      <c r="L8" s="1"/>
    </row>
    <row r="9" spans="2:12" hidden="1" x14ac:dyDescent="0.25">
      <c r="B9" s="1"/>
      <c r="C9" s="1" t="s">
        <v>134</v>
      </c>
      <c r="D9" s="124" t="s">
        <v>20</v>
      </c>
      <c r="E9" s="171"/>
      <c r="F9" s="1"/>
      <c r="H9" s="1"/>
      <c r="I9" s="1"/>
      <c r="J9" s="233" t="s">
        <v>305</v>
      </c>
      <c r="K9" s="234"/>
      <c r="L9" s="1"/>
    </row>
    <row r="10" spans="2:12" hidden="1" x14ac:dyDescent="0.25">
      <c r="B10" s="1"/>
      <c r="C10" s="1" t="s">
        <v>135</v>
      </c>
      <c r="D10" s="134" t="s">
        <v>21</v>
      </c>
      <c r="E10" s="172"/>
      <c r="F10" s="1"/>
      <c r="H10" s="1"/>
      <c r="I10" s="1"/>
      <c r="J10" s="233" t="s">
        <v>305</v>
      </c>
      <c r="K10" s="234"/>
      <c r="L10" s="1"/>
    </row>
    <row r="11" spans="2:12" hidden="1" x14ac:dyDescent="0.25">
      <c r="B11" s="1"/>
      <c r="C11" s="1" t="s">
        <v>212</v>
      </c>
      <c r="D11" s="124" t="s">
        <v>233</v>
      </c>
      <c r="E11" s="188">
        <f>(IFERROR(VLOOKUP("GSM1 Cost", C:E,3,0),"Review"))*(IFERROR(VLOOKUP("GSM1 Quantity",C:E,3,0),"Review"))</f>
        <v>0</v>
      </c>
      <c r="F11" s="1"/>
      <c r="H11" s="1"/>
      <c r="I11" s="1" t="s">
        <v>257</v>
      </c>
      <c r="J11" s="126" t="s">
        <v>52</v>
      </c>
      <c r="K11" s="166">
        <v>0</v>
      </c>
      <c r="L11" s="1"/>
    </row>
    <row r="12" spans="2:12" ht="15.75" hidden="1" thickBot="1" x14ac:dyDescent="0.3">
      <c r="B12" s="1"/>
      <c r="C12" s="1" t="s">
        <v>235</v>
      </c>
      <c r="D12" s="123" t="s">
        <v>234</v>
      </c>
      <c r="E12" s="189" cm="1">
        <f t="array" ref="E12">_xlfn.IFS(VLOOKUP("Term of Invoice",'Invoice Details'!C:D,2,0)="24 Months",VLOOKUP("GSM1 Total",C:E,3,0)*24,VLOOKUP("Term of Invoice",'Invoice Details'!C:D,2,0)="12 Months",VLOOKUP("GSM1 Total",C:E,3,0)*12)</f>
        <v>0</v>
      </c>
      <c r="F12" s="1"/>
      <c r="H12" s="1"/>
      <c r="I12" s="1" t="s">
        <v>258</v>
      </c>
      <c r="J12" s="127" t="s">
        <v>53</v>
      </c>
      <c r="K12" s="186" cm="1">
        <f t="array" ref="K12">IFERROR(_xlfn.IFS(VLOOKUP("Term of Invoice",'Invoice Details'!C:D,2,0)="12 Months",PRODUCT(VLOOKUP("GSM1 Tax Total",I:K,3,0),VLOOKUP("GSM1 Quantity",C:E,3,0),12),VLOOKUP("Term of Invoice",'Invoice Details'!C:D,2,0)="24 Months",PRODUCT(VLOOKUP("GSM1 Tax Total",I:K,3,0),VLOOKUP("GSM1 Quantity",C:E,3,0),24)),"Review")</f>
        <v>0</v>
      </c>
      <c r="L12" s="1"/>
    </row>
    <row r="13" spans="2:12" ht="15.75" hidden="1" thickBot="1" x14ac:dyDescent="0.3">
      <c r="B13" s="1"/>
      <c r="C13" s="1"/>
      <c r="D13" s="1"/>
      <c r="E13" s="1"/>
      <c r="F13" s="1"/>
      <c r="H13" s="1"/>
      <c r="I13" s="1"/>
      <c r="J13" s="1"/>
      <c r="K13" s="1"/>
      <c r="L13" s="1"/>
    </row>
    <row r="14" spans="2:12" hidden="1" x14ac:dyDescent="0.25">
      <c r="B14" s="1"/>
      <c r="C14" s="1" t="s">
        <v>136</v>
      </c>
      <c r="D14" s="133" t="s">
        <v>55</v>
      </c>
      <c r="E14" s="170"/>
      <c r="F14" s="1"/>
      <c r="H14" s="1"/>
      <c r="I14" s="1"/>
      <c r="J14" s="237" t="s">
        <v>305</v>
      </c>
      <c r="K14" s="238"/>
      <c r="L14" s="1"/>
    </row>
    <row r="15" spans="2:12" hidden="1" x14ac:dyDescent="0.25">
      <c r="B15" s="1"/>
      <c r="C15" s="1" t="s">
        <v>137</v>
      </c>
      <c r="D15" s="88" t="s">
        <v>26</v>
      </c>
      <c r="E15" s="171"/>
      <c r="F15" s="1"/>
      <c r="H15" s="1"/>
      <c r="I15" s="1"/>
      <c r="J15" s="233" t="s">
        <v>305</v>
      </c>
      <c r="K15" s="234"/>
      <c r="L15" s="1"/>
    </row>
    <row r="16" spans="2:12" hidden="1" x14ac:dyDescent="0.25">
      <c r="B16" s="1"/>
      <c r="C16" s="1" t="s">
        <v>138</v>
      </c>
      <c r="D16" s="143" t="s">
        <v>20</v>
      </c>
      <c r="E16" s="171"/>
      <c r="F16" s="1"/>
      <c r="H16" s="1"/>
      <c r="I16" s="1"/>
      <c r="J16" s="233" t="s">
        <v>305</v>
      </c>
      <c r="K16" s="234"/>
      <c r="L16" s="1"/>
    </row>
    <row r="17" spans="2:12" hidden="1" x14ac:dyDescent="0.25">
      <c r="B17" s="1"/>
      <c r="C17" s="1" t="s">
        <v>139</v>
      </c>
      <c r="D17" s="134" t="s">
        <v>21</v>
      </c>
      <c r="E17" s="172"/>
      <c r="F17" s="1"/>
      <c r="H17" s="1"/>
      <c r="I17" s="1"/>
      <c r="J17" s="233" t="s">
        <v>305</v>
      </c>
      <c r="K17" s="234"/>
      <c r="L17" s="1"/>
    </row>
    <row r="18" spans="2:12" hidden="1" x14ac:dyDescent="0.25">
      <c r="B18" s="1"/>
      <c r="C18" s="1" t="s">
        <v>213</v>
      </c>
      <c r="D18" s="143" t="s">
        <v>233</v>
      </c>
      <c r="E18" s="188">
        <f>(IFERROR(VLOOKUP("GSM2 Cost", C:E,3,0),"Review"))*(IFERROR(VLOOKUP("GSM2 Quantity",C:E,3,0),"Review"))</f>
        <v>0</v>
      </c>
      <c r="F18" s="1"/>
      <c r="H18" s="1"/>
      <c r="I18" s="1" t="s">
        <v>259</v>
      </c>
      <c r="J18" s="126" t="s">
        <v>52</v>
      </c>
      <c r="K18" s="166">
        <v>0</v>
      </c>
      <c r="L18" s="1"/>
    </row>
    <row r="19" spans="2:12" ht="15.75" hidden="1" thickBot="1" x14ac:dyDescent="0.3">
      <c r="B19" s="1"/>
      <c r="C19" s="1" t="s">
        <v>236</v>
      </c>
      <c r="D19" s="142" t="s">
        <v>234</v>
      </c>
      <c r="E19" s="189" cm="1">
        <f t="array" ref="E19">_xlfn.IFS(VLOOKUP("Term of Invoice",'Invoice Details'!C:D,2,0)="24 Months",VLOOKUP("GSM2 Total",C:E,3,0)*24,VLOOKUP("Term of Invoice",'Invoice Details'!C:D,2,0)="12 Months",VLOOKUP("GSM2 Total",C:E,3,0)*12)</f>
        <v>0</v>
      </c>
      <c r="F19" s="1"/>
      <c r="H19" s="1"/>
      <c r="I19" s="1" t="s">
        <v>260</v>
      </c>
      <c r="J19" s="127" t="s">
        <v>53</v>
      </c>
      <c r="K19" s="186" cm="1">
        <f t="array" ref="K19">IFERROR(_xlfn.IFS(VLOOKUP("Term of Invoice",'Invoice Details'!C:D,2,0)="12 Months",VLOOKUP("GSM2 Tax Total",I:K,3,0)*VLOOKUP("GSM2 Quantity",C:E,3,0)*12,VLOOKUP("Term of Invoice",'Invoice Details'!C:D,2,0)="24 Months",VLOOKUP("GSM2 Tax Total",I:K,3,0)*VLOOKUP("GSM2 Quantity",C:E,3,0)*24),"Review")</f>
        <v>0</v>
      </c>
      <c r="L19" s="1"/>
    </row>
    <row r="20" spans="2:12" ht="15.75" hidden="1" thickBot="1" x14ac:dyDescent="0.3">
      <c r="B20" s="1"/>
      <c r="C20" s="1"/>
      <c r="D20" s="1"/>
      <c r="E20" s="1"/>
      <c r="F20" s="1"/>
      <c r="H20" s="1"/>
      <c r="I20" s="1"/>
      <c r="J20" s="1"/>
      <c r="K20" s="1"/>
      <c r="L20" s="1"/>
    </row>
    <row r="21" spans="2:12" hidden="1" x14ac:dyDescent="0.25">
      <c r="B21" s="1"/>
      <c r="C21" s="1" t="s">
        <v>140</v>
      </c>
      <c r="D21" s="133" t="s">
        <v>55</v>
      </c>
      <c r="E21" s="170"/>
      <c r="F21" s="1"/>
      <c r="H21" s="1"/>
      <c r="I21" s="1"/>
      <c r="J21" s="237" t="s">
        <v>305</v>
      </c>
      <c r="K21" s="238"/>
      <c r="L21" s="1"/>
    </row>
    <row r="22" spans="2:12" hidden="1" x14ac:dyDescent="0.25">
      <c r="B22" s="1"/>
      <c r="C22" s="1" t="s">
        <v>141</v>
      </c>
      <c r="D22" s="88" t="s">
        <v>26</v>
      </c>
      <c r="E22" s="171"/>
      <c r="F22" s="1"/>
      <c r="H22" s="1"/>
      <c r="I22" s="1"/>
      <c r="J22" s="233" t="s">
        <v>305</v>
      </c>
      <c r="K22" s="234"/>
      <c r="L22" s="1"/>
    </row>
    <row r="23" spans="2:12" hidden="1" x14ac:dyDescent="0.25">
      <c r="B23" s="1"/>
      <c r="C23" s="1" t="s">
        <v>142</v>
      </c>
      <c r="D23" s="143" t="s">
        <v>20</v>
      </c>
      <c r="E23" s="171"/>
      <c r="F23" s="1"/>
      <c r="H23" s="1"/>
      <c r="I23" s="1"/>
      <c r="J23" s="233" t="s">
        <v>305</v>
      </c>
      <c r="K23" s="234"/>
      <c r="L23" s="1"/>
    </row>
    <row r="24" spans="2:12" hidden="1" x14ac:dyDescent="0.25">
      <c r="B24" s="1"/>
      <c r="C24" s="1" t="s">
        <v>143</v>
      </c>
      <c r="D24" s="134" t="s">
        <v>21</v>
      </c>
      <c r="E24" s="172"/>
      <c r="F24" s="1"/>
      <c r="H24" s="1"/>
      <c r="I24" s="1"/>
      <c r="J24" s="233" t="s">
        <v>305</v>
      </c>
      <c r="K24" s="234"/>
      <c r="L24" s="1"/>
    </row>
    <row r="25" spans="2:12" hidden="1" x14ac:dyDescent="0.25">
      <c r="B25" s="1"/>
      <c r="C25" s="1" t="s">
        <v>214</v>
      </c>
      <c r="D25" s="143" t="s">
        <v>233</v>
      </c>
      <c r="E25" s="188">
        <f>(IFERROR(VLOOKUP("GSM3 Cost", C:E,3,0),"Review"))*(IFERROR(VLOOKUP("GSM3 Quantity",C:E,3,0),"Review"))</f>
        <v>0</v>
      </c>
      <c r="F25" s="1"/>
      <c r="H25" s="1"/>
      <c r="I25" s="1" t="s">
        <v>261</v>
      </c>
      <c r="J25" s="126" t="s">
        <v>52</v>
      </c>
      <c r="K25" s="166">
        <v>0</v>
      </c>
      <c r="L25" s="1"/>
    </row>
    <row r="26" spans="2:12" ht="15.75" hidden="1" thickBot="1" x14ac:dyDescent="0.3">
      <c r="B26" s="1"/>
      <c r="C26" s="1" t="s">
        <v>237</v>
      </c>
      <c r="D26" s="142" t="s">
        <v>234</v>
      </c>
      <c r="E26" s="189" cm="1">
        <f t="array" ref="E26">_xlfn.IFS(VLOOKUP("Term of Invoice",'Invoice Details'!C:D,2,0)="24 Months",VLOOKUP("GSM3 Total",C:E,3,0)*24,VLOOKUP("Term of Invoice",'Invoice Details'!C:D,2,0)="12 Months",VLOOKUP("GSM3 Total",C:E,3,0)*12)</f>
        <v>0</v>
      </c>
      <c r="F26" s="1"/>
      <c r="H26" s="1"/>
      <c r="I26" s="1" t="s">
        <v>262</v>
      </c>
      <c r="J26" s="127" t="s">
        <v>53</v>
      </c>
      <c r="K26" s="186" cm="1">
        <f t="array" ref="K26">IFERROR(_xlfn.IFS(VLOOKUP("Term of Invoice",'Invoice Details'!C:D,2,0)="12 Months",VLOOKUP("GSM3 Tax Total",I:K,3,0)*VLOOKUP("GSM3 Quantity",C:E,3,0)*12,VLOOKUP("Term of Invoice",'Invoice Details'!C:D,2,0)="24 Months",VLOOKUP("GSM3 Tax Total",I:K,3,0)*VLOOKUP("GSM3 Quantity",C:E,3,0)*24),"Review")</f>
        <v>0</v>
      </c>
      <c r="L26" s="1"/>
    </row>
    <row r="27" spans="2:12" ht="15.75" hidden="1" thickBot="1" x14ac:dyDescent="0.3">
      <c r="B27" s="1"/>
      <c r="C27" s="1"/>
      <c r="D27" s="1"/>
      <c r="E27" s="1"/>
      <c r="F27" s="1"/>
      <c r="H27" s="1"/>
      <c r="I27" s="1"/>
      <c r="J27" s="1"/>
      <c r="K27" s="1"/>
      <c r="L27" s="1"/>
    </row>
    <row r="28" spans="2:12" hidden="1" x14ac:dyDescent="0.25">
      <c r="B28" s="1"/>
      <c r="C28" s="1" t="s">
        <v>144</v>
      </c>
      <c r="D28" s="133" t="s">
        <v>55</v>
      </c>
      <c r="E28" s="170"/>
      <c r="F28" s="1"/>
      <c r="H28" s="1"/>
      <c r="I28" s="1"/>
      <c r="J28" s="237" t="s">
        <v>305</v>
      </c>
      <c r="K28" s="238"/>
      <c r="L28" s="1"/>
    </row>
    <row r="29" spans="2:12" hidden="1" x14ac:dyDescent="0.25">
      <c r="B29" s="1"/>
      <c r="C29" s="1" t="s">
        <v>145</v>
      </c>
      <c r="D29" s="88" t="s">
        <v>26</v>
      </c>
      <c r="E29" s="171"/>
      <c r="F29" s="1"/>
      <c r="H29" s="1"/>
      <c r="I29" s="1"/>
      <c r="J29" s="233" t="s">
        <v>305</v>
      </c>
      <c r="K29" s="234"/>
      <c r="L29" s="1"/>
    </row>
    <row r="30" spans="2:12" hidden="1" x14ac:dyDescent="0.25">
      <c r="B30" s="1"/>
      <c r="C30" s="1" t="s">
        <v>146</v>
      </c>
      <c r="D30" s="143" t="s">
        <v>20</v>
      </c>
      <c r="E30" s="171"/>
      <c r="F30" s="1"/>
      <c r="H30" s="1"/>
      <c r="I30" s="1"/>
      <c r="J30" s="233" t="s">
        <v>305</v>
      </c>
      <c r="K30" s="234"/>
      <c r="L30" s="1"/>
    </row>
    <row r="31" spans="2:12" hidden="1" x14ac:dyDescent="0.25">
      <c r="B31" s="1"/>
      <c r="C31" s="1" t="s">
        <v>147</v>
      </c>
      <c r="D31" s="134" t="s">
        <v>21</v>
      </c>
      <c r="E31" s="172"/>
      <c r="F31" s="1"/>
      <c r="H31" s="1"/>
      <c r="I31" s="1"/>
      <c r="J31" s="233" t="s">
        <v>305</v>
      </c>
      <c r="K31" s="234"/>
      <c r="L31" s="1"/>
    </row>
    <row r="32" spans="2:12" hidden="1" x14ac:dyDescent="0.25">
      <c r="B32" s="1"/>
      <c r="C32" s="1" t="s">
        <v>215</v>
      </c>
      <c r="D32" s="143" t="s">
        <v>233</v>
      </c>
      <c r="E32" s="188">
        <f>(IFERROR(VLOOKUP("GSM4 Cost", C:E,3,0),"Review"))*(IFERROR(VLOOKUP("GSM4 Quantity",C:E,3,0),"Review"))</f>
        <v>0</v>
      </c>
      <c r="F32" s="1"/>
      <c r="H32" s="1"/>
      <c r="I32" s="1" t="s">
        <v>263</v>
      </c>
      <c r="J32" s="126" t="s">
        <v>52</v>
      </c>
      <c r="K32" s="166">
        <v>0</v>
      </c>
      <c r="L32" s="1"/>
    </row>
    <row r="33" spans="2:12" ht="15.75" hidden="1" thickBot="1" x14ac:dyDescent="0.3">
      <c r="B33" s="1"/>
      <c r="C33" s="1" t="s">
        <v>238</v>
      </c>
      <c r="D33" s="142" t="s">
        <v>234</v>
      </c>
      <c r="E33" s="189" cm="1">
        <f t="array" ref="E33">_xlfn.IFS(VLOOKUP("Term of Invoice",'Invoice Details'!C:D,2,0)="24 Months",VLOOKUP("GSM4 Total",C:E,3,0)*24,VLOOKUP("Term of Invoice",'Invoice Details'!C:D,2,0)="12 Months",VLOOKUP("GSM4 Total",C:E,3,0)*12)</f>
        <v>0</v>
      </c>
      <c r="F33" s="1"/>
      <c r="H33" s="1"/>
      <c r="I33" s="1" t="s">
        <v>264</v>
      </c>
      <c r="J33" s="127" t="s">
        <v>53</v>
      </c>
      <c r="K33" s="186" cm="1">
        <f t="array" ref="K33">IFERROR(_xlfn.IFS(VLOOKUP("Term of Invoice",'Invoice Details'!C:D,2,0)="12 Months",VLOOKUP("GSM4 Tax Total",I:K,3,0)*VLOOKUP("GSM4 Quantity",C:E,3,0)*12,VLOOKUP("Term of Invoice",'Invoice Details'!C:D,2,0)="24 Months",VLOOKUP("GSM4 Tax Total",I:K,3,0)*VLOOKUP("GSM4 Quantity",C:E,3,0)*24),"Review")</f>
        <v>0</v>
      </c>
      <c r="L33" s="1"/>
    </row>
    <row r="34" spans="2:12" ht="15.75" hidden="1" thickBot="1" x14ac:dyDescent="0.3">
      <c r="B34" s="1"/>
      <c r="C34" s="1"/>
      <c r="D34" s="1"/>
      <c r="E34" s="1"/>
      <c r="F34" s="1"/>
      <c r="H34" s="1"/>
      <c r="I34" s="1"/>
      <c r="J34" s="1"/>
      <c r="K34" s="1"/>
      <c r="L34" s="1"/>
    </row>
    <row r="35" spans="2:12" hidden="1" x14ac:dyDescent="0.25">
      <c r="B35" s="1"/>
      <c r="C35" s="1" t="s">
        <v>148</v>
      </c>
      <c r="D35" s="133" t="s">
        <v>55</v>
      </c>
      <c r="E35" s="170"/>
      <c r="F35" s="1"/>
      <c r="H35" s="1"/>
      <c r="I35" s="1"/>
      <c r="J35" s="237" t="s">
        <v>305</v>
      </c>
      <c r="K35" s="238"/>
      <c r="L35" s="1"/>
    </row>
    <row r="36" spans="2:12" hidden="1" x14ac:dyDescent="0.25">
      <c r="B36" s="1"/>
      <c r="C36" s="1" t="s">
        <v>149</v>
      </c>
      <c r="D36" s="88" t="s">
        <v>26</v>
      </c>
      <c r="E36" s="171"/>
      <c r="F36" s="1"/>
      <c r="H36" s="1"/>
      <c r="I36" s="1"/>
      <c r="J36" s="233" t="s">
        <v>305</v>
      </c>
      <c r="K36" s="234"/>
      <c r="L36" s="1"/>
    </row>
    <row r="37" spans="2:12" hidden="1" x14ac:dyDescent="0.25">
      <c r="B37" s="1"/>
      <c r="C37" s="1" t="s">
        <v>150</v>
      </c>
      <c r="D37" s="143" t="s">
        <v>20</v>
      </c>
      <c r="E37" s="171"/>
      <c r="F37" s="1"/>
      <c r="H37" s="1"/>
      <c r="I37" s="1"/>
      <c r="J37" s="233" t="s">
        <v>305</v>
      </c>
      <c r="K37" s="234"/>
      <c r="L37" s="1"/>
    </row>
    <row r="38" spans="2:12" hidden="1" x14ac:dyDescent="0.25">
      <c r="B38" s="1"/>
      <c r="C38" s="1" t="s">
        <v>151</v>
      </c>
      <c r="D38" s="134" t="s">
        <v>21</v>
      </c>
      <c r="E38" s="172"/>
      <c r="F38" s="1"/>
      <c r="H38" s="1"/>
      <c r="I38" s="1"/>
      <c r="J38" s="233" t="s">
        <v>305</v>
      </c>
      <c r="K38" s="234"/>
      <c r="L38" s="1"/>
    </row>
    <row r="39" spans="2:12" hidden="1" x14ac:dyDescent="0.25">
      <c r="B39" s="1"/>
      <c r="C39" s="1" t="s">
        <v>216</v>
      </c>
      <c r="D39" s="143" t="s">
        <v>233</v>
      </c>
      <c r="E39" s="188">
        <f>(IFERROR(VLOOKUP("GSM5 Cost", C:E,3,0),"Review"))*(IFERROR(VLOOKUP("GSM5 Quantity",C:E,3,0),"Review"))</f>
        <v>0</v>
      </c>
      <c r="F39" s="1"/>
      <c r="H39" s="1"/>
      <c r="I39" s="1" t="s">
        <v>265</v>
      </c>
      <c r="J39" s="126" t="s">
        <v>52</v>
      </c>
      <c r="K39" s="166">
        <v>0</v>
      </c>
      <c r="L39" s="1"/>
    </row>
    <row r="40" spans="2:12" ht="15.75" hidden="1" thickBot="1" x14ac:dyDescent="0.3">
      <c r="B40" s="1"/>
      <c r="C40" s="1" t="s">
        <v>239</v>
      </c>
      <c r="D40" s="142" t="s">
        <v>234</v>
      </c>
      <c r="E40" s="189" cm="1">
        <f t="array" ref="E40">_xlfn.IFS(VLOOKUP("Term of Invoice",'Invoice Details'!C:D,2,0)="24 Months",VLOOKUP("GSM5 Total",C:E,3,0)*24,VLOOKUP("Term of Invoice",'Invoice Details'!C:D,2,0)="12 Months",VLOOKUP("GSM5 Total",C:E,3,0)*12)</f>
        <v>0</v>
      </c>
      <c r="F40" s="1"/>
      <c r="H40" s="1"/>
      <c r="I40" s="1" t="s">
        <v>266</v>
      </c>
      <c r="J40" s="127" t="s">
        <v>53</v>
      </c>
      <c r="K40" s="186" cm="1">
        <f t="array" ref="K40">IFERROR(_xlfn.IFS(VLOOKUP("Term of Invoice",'Invoice Details'!C:D,2,0)="12 Months",VLOOKUP("GSM5 Tax Total",I:K,3,0)*VLOOKUP("GSM5 Quantity",C:E,3,0)*12,VLOOKUP("Term of Invoice",'Invoice Details'!C:D,2,0)="24 Months",VLOOKUP("GSM5 Tax Total",I:K,3,0)*VLOOKUP("GSM5 Quantity",C:E,3,0)*24),"Review")</f>
        <v>0</v>
      </c>
      <c r="L40" s="1"/>
    </row>
    <row r="41" spans="2:12" ht="15.75" hidden="1" thickBot="1" x14ac:dyDescent="0.3">
      <c r="B41" s="1"/>
      <c r="C41" s="1"/>
      <c r="D41" s="1"/>
      <c r="E41" s="1"/>
      <c r="F41" s="1"/>
      <c r="H41" s="1"/>
      <c r="I41" s="1"/>
      <c r="J41" s="1"/>
      <c r="K41" s="1"/>
      <c r="L41" s="1"/>
    </row>
    <row r="42" spans="2:12" hidden="1" x14ac:dyDescent="0.25">
      <c r="B42" s="1"/>
      <c r="C42" s="1" t="s">
        <v>152</v>
      </c>
      <c r="D42" s="133" t="s">
        <v>55</v>
      </c>
      <c r="E42" s="170"/>
      <c r="F42" s="1"/>
      <c r="H42" s="1"/>
      <c r="I42" s="1"/>
      <c r="J42" s="237" t="s">
        <v>305</v>
      </c>
      <c r="K42" s="238"/>
      <c r="L42" s="1"/>
    </row>
    <row r="43" spans="2:12" hidden="1" x14ac:dyDescent="0.25">
      <c r="B43" s="1"/>
      <c r="C43" s="1" t="s">
        <v>153</v>
      </c>
      <c r="D43" s="88" t="s">
        <v>26</v>
      </c>
      <c r="E43" s="171"/>
      <c r="F43" s="1"/>
      <c r="H43" s="1"/>
      <c r="I43" s="1"/>
      <c r="J43" s="233" t="s">
        <v>305</v>
      </c>
      <c r="K43" s="234"/>
      <c r="L43" s="1"/>
    </row>
    <row r="44" spans="2:12" hidden="1" x14ac:dyDescent="0.25">
      <c r="B44" s="1"/>
      <c r="C44" s="1" t="s">
        <v>154</v>
      </c>
      <c r="D44" s="143" t="s">
        <v>20</v>
      </c>
      <c r="E44" s="171"/>
      <c r="F44" s="1"/>
      <c r="H44" s="1"/>
      <c r="I44" s="1"/>
      <c r="J44" s="233" t="s">
        <v>305</v>
      </c>
      <c r="K44" s="234"/>
      <c r="L44" s="1"/>
    </row>
    <row r="45" spans="2:12" hidden="1" x14ac:dyDescent="0.25">
      <c r="B45" s="1"/>
      <c r="C45" s="1" t="s">
        <v>155</v>
      </c>
      <c r="D45" s="134" t="s">
        <v>21</v>
      </c>
      <c r="E45" s="172"/>
      <c r="F45" s="1"/>
      <c r="H45" s="1"/>
      <c r="I45" s="1"/>
      <c r="J45" s="233" t="s">
        <v>305</v>
      </c>
      <c r="K45" s="234"/>
      <c r="L45" s="1"/>
    </row>
    <row r="46" spans="2:12" hidden="1" x14ac:dyDescent="0.25">
      <c r="B46" s="1"/>
      <c r="C46" s="1" t="s">
        <v>217</v>
      </c>
      <c r="D46" s="143" t="s">
        <v>233</v>
      </c>
      <c r="E46" s="188">
        <f>(IFERROR(VLOOKUP("GSM6 Cost", C:E,3,0),"Review"))*(IFERROR(VLOOKUP("GSM6 Quantity",C:E,3,0),"Review"))</f>
        <v>0</v>
      </c>
      <c r="F46" s="1"/>
      <c r="H46" s="1"/>
      <c r="I46" s="1" t="s">
        <v>267</v>
      </c>
      <c r="J46" s="126" t="s">
        <v>52</v>
      </c>
      <c r="K46" s="166">
        <v>0</v>
      </c>
      <c r="L46" s="1"/>
    </row>
    <row r="47" spans="2:12" ht="15.75" hidden="1" thickBot="1" x14ac:dyDescent="0.3">
      <c r="B47" s="1"/>
      <c r="C47" s="1" t="s">
        <v>240</v>
      </c>
      <c r="D47" s="142" t="s">
        <v>234</v>
      </c>
      <c r="E47" s="189" cm="1">
        <f t="array" ref="E47">_xlfn.IFS(VLOOKUP("Term of Invoice",'Invoice Details'!C:D,2,0)="24 Months",VLOOKUP("GSM6 Total",C:E,3,0)*24,VLOOKUP("Term of Invoice",'Invoice Details'!C:D,2,0)="12 Months",VLOOKUP("GSM6 Total",C:E,3,0)*12)</f>
        <v>0</v>
      </c>
      <c r="F47" s="1"/>
      <c r="H47" s="1"/>
      <c r="I47" s="1" t="s">
        <v>268</v>
      </c>
      <c r="J47" s="127" t="s">
        <v>53</v>
      </c>
      <c r="K47" s="186" cm="1">
        <f t="array" ref="K47">IFERROR(_xlfn.IFS(VLOOKUP("Term of Invoice",'Invoice Details'!C:D,2,0)="12 Months",VLOOKUP("GSM6 Tax Total",I:K,3,0)*VLOOKUP("GSM6 Quantity",C:E,3,0)*12,VLOOKUP("Term of Invoice",'Invoice Details'!C:D,2,0)="24 Months",VLOOKUP("GSM6 Tax Total",I:K,3,0)*VLOOKUP("GSM6 Quantity",C:E,3,0)*24),"Review")</f>
        <v>0</v>
      </c>
      <c r="L47" s="1"/>
    </row>
    <row r="48" spans="2:12" ht="15.75" hidden="1" thickBot="1" x14ac:dyDescent="0.3">
      <c r="B48" s="1"/>
      <c r="C48" s="1"/>
      <c r="D48" s="1"/>
      <c r="E48" s="1"/>
      <c r="F48" s="1"/>
      <c r="H48" s="1"/>
      <c r="I48" s="1"/>
      <c r="J48" s="1"/>
      <c r="K48" s="1"/>
      <c r="L48" s="1"/>
    </row>
    <row r="49" spans="2:12" hidden="1" x14ac:dyDescent="0.25">
      <c r="B49" s="1"/>
      <c r="C49" s="1" t="s">
        <v>156</v>
      </c>
      <c r="D49" s="133" t="s">
        <v>55</v>
      </c>
      <c r="E49" s="170"/>
      <c r="F49" s="1"/>
      <c r="H49" s="1"/>
      <c r="I49" s="1"/>
      <c r="J49" s="237" t="s">
        <v>305</v>
      </c>
      <c r="K49" s="238"/>
      <c r="L49" s="1"/>
    </row>
    <row r="50" spans="2:12" hidden="1" x14ac:dyDescent="0.25">
      <c r="B50" s="1"/>
      <c r="C50" s="1" t="s">
        <v>157</v>
      </c>
      <c r="D50" s="88" t="s">
        <v>26</v>
      </c>
      <c r="E50" s="171"/>
      <c r="F50" s="1"/>
      <c r="H50" s="1"/>
      <c r="I50" s="1"/>
      <c r="J50" s="233" t="s">
        <v>305</v>
      </c>
      <c r="K50" s="234"/>
      <c r="L50" s="1"/>
    </row>
    <row r="51" spans="2:12" hidden="1" x14ac:dyDescent="0.25">
      <c r="B51" s="1"/>
      <c r="C51" s="1" t="s">
        <v>158</v>
      </c>
      <c r="D51" s="143" t="s">
        <v>20</v>
      </c>
      <c r="E51" s="171"/>
      <c r="F51" s="1"/>
      <c r="H51" s="1"/>
      <c r="I51" s="1"/>
      <c r="J51" s="233" t="s">
        <v>305</v>
      </c>
      <c r="K51" s="234"/>
      <c r="L51" s="1"/>
    </row>
    <row r="52" spans="2:12" hidden="1" x14ac:dyDescent="0.25">
      <c r="B52" s="1"/>
      <c r="C52" s="1" t="s">
        <v>159</v>
      </c>
      <c r="D52" s="134" t="s">
        <v>21</v>
      </c>
      <c r="E52" s="172"/>
      <c r="F52" s="1"/>
      <c r="H52" s="1"/>
      <c r="I52" s="1"/>
      <c r="J52" s="233" t="s">
        <v>305</v>
      </c>
      <c r="K52" s="234"/>
      <c r="L52" s="1"/>
    </row>
    <row r="53" spans="2:12" hidden="1" x14ac:dyDescent="0.25">
      <c r="B53" s="1"/>
      <c r="C53" s="1" t="s">
        <v>218</v>
      </c>
      <c r="D53" s="143" t="s">
        <v>233</v>
      </c>
      <c r="E53" s="188">
        <f>(IFERROR(VLOOKUP("GSM7 Cost", C:E,3,0),"Review"))*(IFERROR(VLOOKUP("GSM7 Quantity",C:E,3,0),"Review"))</f>
        <v>0</v>
      </c>
      <c r="F53" s="1"/>
      <c r="H53" s="1"/>
      <c r="I53" s="1" t="s">
        <v>269</v>
      </c>
      <c r="J53" s="126" t="s">
        <v>52</v>
      </c>
      <c r="K53" s="166">
        <v>0</v>
      </c>
      <c r="L53" s="1"/>
    </row>
    <row r="54" spans="2:12" ht="15.75" hidden="1" thickBot="1" x14ac:dyDescent="0.3">
      <c r="B54" s="1"/>
      <c r="C54" s="1" t="s">
        <v>241</v>
      </c>
      <c r="D54" s="142" t="s">
        <v>234</v>
      </c>
      <c r="E54" s="189" cm="1">
        <f t="array" ref="E54">_xlfn.IFS(VLOOKUP("Term of Invoice",'Invoice Details'!C:D,2,0)="24 Months",VLOOKUP("GSM7 Total",C:E,3,0)*24,VLOOKUP("Term of Invoice",'Invoice Details'!C:D,2,0)="12 Months",VLOOKUP("GSM7 Total",C:E,3,0)*12)</f>
        <v>0</v>
      </c>
      <c r="F54" s="1"/>
      <c r="H54" s="1"/>
      <c r="I54" s="1" t="s">
        <v>270</v>
      </c>
      <c r="J54" s="127" t="s">
        <v>53</v>
      </c>
      <c r="K54" s="186" cm="1">
        <f t="array" ref="K54">IFERROR(_xlfn.IFS(VLOOKUP("Term of Invoice",'Invoice Details'!C:D,2,0)="12 Months",VLOOKUP("GSM7 Tax Total",I:K,3,0)*VLOOKUP("GSM7 Quantity",C:E,3,0)*12,VLOOKUP("Term of Invoice",'Invoice Details'!C:D,2,0)="24 Months",VLOOKUP("GSM7 Tax Total",I:K,3,0)*VLOOKUP("GSM7 Quantity",C:E,3,0)*24),"Review")</f>
        <v>0</v>
      </c>
      <c r="L54" s="1"/>
    </row>
    <row r="55" spans="2:12" ht="15.75" hidden="1" thickBot="1" x14ac:dyDescent="0.3">
      <c r="B55" s="1"/>
      <c r="C55" s="1"/>
      <c r="D55" s="1"/>
      <c r="E55" s="1"/>
      <c r="F55" s="1"/>
      <c r="H55" s="1"/>
      <c r="I55" s="1"/>
      <c r="J55" s="1"/>
      <c r="K55" s="1"/>
      <c r="L55" s="1"/>
    </row>
    <row r="56" spans="2:12" hidden="1" x14ac:dyDescent="0.25">
      <c r="B56" s="1"/>
      <c r="C56" s="1" t="s">
        <v>160</v>
      </c>
      <c r="D56" s="133" t="s">
        <v>55</v>
      </c>
      <c r="E56" s="170"/>
      <c r="F56" s="1"/>
      <c r="H56" s="1"/>
      <c r="I56" s="1"/>
      <c r="J56" s="237" t="s">
        <v>305</v>
      </c>
      <c r="K56" s="238"/>
      <c r="L56" s="1"/>
    </row>
    <row r="57" spans="2:12" hidden="1" x14ac:dyDescent="0.25">
      <c r="B57" s="1"/>
      <c r="C57" s="1" t="s">
        <v>161</v>
      </c>
      <c r="D57" s="88" t="s">
        <v>26</v>
      </c>
      <c r="E57" s="171"/>
      <c r="F57" s="1"/>
      <c r="H57" s="1"/>
      <c r="I57" s="1"/>
      <c r="J57" s="233" t="s">
        <v>305</v>
      </c>
      <c r="K57" s="234"/>
      <c r="L57" s="1"/>
    </row>
    <row r="58" spans="2:12" hidden="1" x14ac:dyDescent="0.25">
      <c r="B58" s="1"/>
      <c r="C58" s="1" t="s">
        <v>162</v>
      </c>
      <c r="D58" s="143" t="s">
        <v>20</v>
      </c>
      <c r="E58" s="171"/>
      <c r="F58" s="1"/>
      <c r="H58" s="1"/>
      <c r="I58" s="1"/>
      <c r="J58" s="233" t="s">
        <v>305</v>
      </c>
      <c r="K58" s="234"/>
      <c r="L58" s="1"/>
    </row>
    <row r="59" spans="2:12" hidden="1" x14ac:dyDescent="0.25">
      <c r="B59" s="1"/>
      <c r="C59" s="1" t="s">
        <v>163</v>
      </c>
      <c r="D59" s="134" t="s">
        <v>21</v>
      </c>
      <c r="E59" s="172"/>
      <c r="F59" s="1"/>
      <c r="H59" s="1"/>
      <c r="I59" s="1"/>
      <c r="J59" s="233" t="s">
        <v>305</v>
      </c>
      <c r="K59" s="234"/>
      <c r="L59" s="1"/>
    </row>
    <row r="60" spans="2:12" hidden="1" x14ac:dyDescent="0.25">
      <c r="B60" s="1"/>
      <c r="C60" s="1" t="s">
        <v>219</v>
      </c>
      <c r="D60" s="143" t="s">
        <v>233</v>
      </c>
      <c r="E60" s="188">
        <f>(IFERROR(VLOOKUP("GSM8 Cost", C:E,3,0),"Review"))*(IFERROR(VLOOKUP("GSM8 Quantity",C:E,3,0),"Review"))</f>
        <v>0</v>
      </c>
      <c r="F60" s="1"/>
      <c r="H60" s="1"/>
      <c r="I60" s="1" t="s">
        <v>271</v>
      </c>
      <c r="J60" s="126" t="s">
        <v>52</v>
      </c>
      <c r="K60" s="166">
        <v>0</v>
      </c>
      <c r="L60" s="1"/>
    </row>
    <row r="61" spans="2:12" ht="15.75" hidden="1" thickBot="1" x14ac:dyDescent="0.3">
      <c r="B61" s="1"/>
      <c r="C61" s="1" t="s">
        <v>242</v>
      </c>
      <c r="D61" s="142" t="s">
        <v>234</v>
      </c>
      <c r="E61" s="189" cm="1">
        <f t="array" ref="E61">_xlfn.IFS(VLOOKUP("Term of Invoice",'Invoice Details'!C:D,2,0)="24 Months",VLOOKUP("GSM8 Total",C:E,3,0)*24,VLOOKUP("Term of Invoice",'Invoice Details'!C:D,2,0)="12 Months",VLOOKUP("GSM8 Total",C:E,3,0)*12)</f>
        <v>0</v>
      </c>
      <c r="F61" s="1"/>
      <c r="H61" s="1"/>
      <c r="I61" s="1" t="s">
        <v>272</v>
      </c>
      <c r="J61" s="127" t="s">
        <v>53</v>
      </c>
      <c r="K61" s="186" cm="1">
        <f t="array" ref="K61">IFERROR(_xlfn.IFS(VLOOKUP("Term of Invoice",'Invoice Details'!C:D,2,0)="12 Months",VLOOKUP("GSM8 Tax Total",I:K,3,0)*VLOOKUP("GSM8 Quantity",C:E,3,0)*12,VLOOKUP("Term of Invoice",'Invoice Details'!C:D,2,0)="24 Months",VLOOKUP("GSM8 Tax Total",I:K,3,0)*VLOOKUP("GSM8 Quantity",C:E,3,0)*24),"Review")</f>
        <v>0</v>
      </c>
      <c r="L61" s="1"/>
    </row>
    <row r="62" spans="2:12" ht="15.75" hidden="1" thickBot="1" x14ac:dyDescent="0.3">
      <c r="B62" s="1"/>
      <c r="C62" s="1"/>
      <c r="D62" s="1"/>
      <c r="E62" s="1"/>
      <c r="F62" s="1"/>
      <c r="H62" s="1"/>
      <c r="I62" s="1"/>
      <c r="J62" s="1"/>
      <c r="K62" s="1"/>
      <c r="L62" s="1"/>
    </row>
    <row r="63" spans="2:12" hidden="1" x14ac:dyDescent="0.25">
      <c r="B63" s="1"/>
      <c r="C63" s="1" t="s">
        <v>164</v>
      </c>
      <c r="D63" s="133" t="s">
        <v>55</v>
      </c>
      <c r="E63" s="170"/>
      <c r="F63" s="1"/>
      <c r="H63" s="1"/>
      <c r="I63" s="1"/>
      <c r="J63" s="237" t="s">
        <v>305</v>
      </c>
      <c r="K63" s="238"/>
      <c r="L63" s="1"/>
    </row>
    <row r="64" spans="2:12" hidden="1" x14ac:dyDescent="0.25">
      <c r="B64" s="1"/>
      <c r="C64" s="1" t="s">
        <v>165</v>
      </c>
      <c r="D64" s="88" t="s">
        <v>26</v>
      </c>
      <c r="E64" s="171"/>
      <c r="F64" s="1"/>
      <c r="H64" s="1"/>
      <c r="I64" s="1"/>
      <c r="J64" s="233" t="s">
        <v>305</v>
      </c>
      <c r="K64" s="234"/>
      <c r="L64" s="1"/>
    </row>
    <row r="65" spans="2:12" hidden="1" x14ac:dyDescent="0.25">
      <c r="B65" s="1"/>
      <c r="C65" s="1" t="s">
        <v>166</v>
      </c>
      <c r="D65" s="143" t="s">
        <v>20</v>
      </c>
      <c r="E65" s="171"/>
      <c r="F65" s="1"/>
      <c r="H65" s="1"/>
      <c r="I65" s="1"/>
      <c r="J65" s="233" t="s">
        <v>305</v>
      </c>
      <c r="K65" s="234"/>
      <c r="L65" s="1"/>
    </row>
    <row r="66" spans="2:12" hidden="1" x14ac:dyDescent="0.25">
      <c r="B66" s="1"/>
      <c r="C66" s="1" t="s">
        <v>167</v>
      </c>
      <c r="D66" s="134" t="s">
        <v>21</v>
      </c>
      <c r="E66" s="172"/>
      <c r="F66" s="1"/>
      <c r="H66" s="1"/>
      <c r="I66" s="1"/>
      <c r="J66" s="233" t="s">
        <v>305</v>
      </c>
      <c r="K66" s="234"/>
      <c r="L66" s="1"/>
    </row>
    <row r="67" spans="2:12" hidden="1" x14ac:dyDescent="0.25">
      <c r="B67" s="1"/>
      <c r="C67" s="1" t="s">
        <v>220</v>
      </c>
      <c r="D67" s="143" t="s">
        <v>233</v>
      </c>
      <c r="E67" s="188">
        <f>(IFERROR(VLOOKUP("GSM9 Cost", C:E,3,0),"Review"))*(IFERROR(VLOOKUP("GSM9 Quantity",C:E,3,0),"Review"))</f>
        <v>0</v>
      </c>
      <c r="F67" s="1"/>
      <c r="H67" s="1"/>
      <c r="I67" s="1" t="s">
        <v>273</v>
      </c>
      <c r="J67" s="126" t="s">
        <v>52</v>
      </c>
      <c r="K67" s="166">
        <v>0</v>
      </c>
      <c r="L67" s="1"/>
    </row>
    <row r="68" spans="2:12" ht="15.75" hidden="1" thickBot="1" x14ac:dyDescent="0.3">
      <c r="B68" s="1"/>
      <c r="C68" s="1" t="s">
        <v>243</v>
      </c>
      <c r="D68" s="142" t="s">
        <v>234</v>
      </c>
      <c r="E68" s="189" cm="1">
        <f t="array" ref="E68">_xlfn.IFS(VLOOKUP("Term of Invoice",'Invoice Details'!C:D,2,0)="24 Months",VLOOKUP("GSM9 Total",C:E,3,0)*24,VLOOKUP("Term of Invoice",'Invoice Details'!C:D,2,0)="12 Months",VLOOKUP("GSM9 Total",C:E,3,0)*12)</f>
        <v>0</v>
      </c>
      <c r="F68" s="1"/>
      <c r="H68" s="1"/>
      <c r="I68" s="1" t="s">
        <v>274</v>
      </c>
      <c r="J68" s="127" t="s">
        <v>53</v>
      </c>
      <c r="K68" s="186" cm="1">
        <f t="array" ref="K68">IFERROR(_xlfn.IFS(VLOOKUP("Term of Invoice",'Invoice Details'!C:D,2,0)="12 Months",VLOOKUP("GSM9 Tax Total",I:K,3,0)*VLOOKUP("GSM9 Quantity",C:E,3,0)*12,VLOOKUP("Term of Invoice",'Invoice Details'!C:D,2,0)="24 Months",VLOOKUP("GSM9 Tax Total",I:K,3,0)*VLOOKUP("GSM9 Quantity",C:E,3,0)*24),"Review")</f>
        <v>0</v>
      </c>
      <c r="L68" s="1"/>
    </row>
    <row r="69" spans="2:12" ht="15.75" hidden="1" thickBot="1" x14ac:dyDescent="0.3">
      <c r="B69" s="1"/>
      <c r="C69" s="1"/>
      <c r="D69" s="1"/>
      <c r="E69" s="1"/>
      <c r="F69" s="1"/>
      <c r="H69" s="1"/>
      <c r="I69" s="1"/>
      <c r="J69" s="1"/>
      <c r="K69" s="1"/>
      <c r="L69" s="1"/>
    </row>
    <row r="70" spans="2:12" hidden="1" x14ac:dyDescent="0.25">
      <c r="B70" s="1"/>
      <c r="C70" s="1" t="s">
        <v>168</v>
      </c>
      <c r="D70" s="133" t="s">
        <v>55</v>
      </c>
      <c r="E70" s="170"/>
      <c r="F70" s="1"/>
      <c r="H70" s="1"/>
      <c r="I70" s="1"/>
      <c r="J70" s="237" t="s">
        <v>305</v>
      </c>
      <c r="K70" s="238"/>
      <c r="L70" s="1"/>
    </row>
    <row r="71" spans="2:12" hidden="1" x14ac:dyDescent="0.25">
      <c r="B71" s="1"/>
      <c r="C71" s="1" t="s">
        <v>169</v>
      </c>
      <c r="D71" s="88" t="s">
        <v>26</v>
      </c>
      <c r="E71" s="171"/>
      <c r="F71" s="1"/>
      <c r="H71" s="1"/>
      <c r="I71" s="1"/>
      <c r="J71" s="233" t="s">
        <v>305</v>
      </c>
      <c r="K71" s="234"/>
      <c r="L71" s="1"/>
    </row>
    <row r="72" spans="2:12" hidden="1" x14ac:dyDescent="0.25">
      <c r="B72" s="1"/>
      <c r="C72" s="1" t="s">
        <v>170</v>
      </c>
      <c r="D72" s="143" t="s">
        <v>20</v>
      </c>
      <c r="E72" s="171"/>
      <c r="F72" s="1"/>
      <c r="H72" s="1"/>
      <c r="I72" s="1"/>
      <c r="J72" s="233" t="s">
        <v>305</v>
      </c>
      <c r="K72" s="234"/>
      <c r="L72" s="1"/>
    </row>
    <row r="73" spans="2:12" hidden="1" x14ac:dyDescent="0.25">
      <c r="B73" s="1"/>
      <c r="C73" s="1" t="s">
        <v>171</v>
      </c>
      <c r="D73" s="134" t="s">
        <v>21</v>
      </c>
      <c r="E73" s="172"/>
      <c r="F73" s="1"/>
      <c r="H73" s="1"/>
      <c r="I73" s="1"/>
      <c r="J73" s="233" t="s">
        <v>305</v>
      </c>
      <c r="K73" s="234"/>
      <c r="L73" s="1"/>
    </row>
    <row r="74" spans="2:12" hidden="1" x14ac:dyDescent="0.25">
      <c r="B74" s="1"/>
      <c r="C74" s="1" t="s">
        <v>221</v>
      </c>
      <c r="D74" s="143" t="s">
        <v>233</v>
      </c>
      <c r="E74" s="188">
        <f>(IFERROR(VLOOKUP("GSM10 Cost", C:E,3,0),"Review"))*(IFERROR(VLOOKUP("GSM10 Quantity",C:E,3,0),"Review"))</f>
        <v>0</v>
      </c>
      <c r="F74" s="1"/>
      <c r="H74" s="1"/>
      <c r="I74" s="1" t="s">
        <v>275</v>
      </c>
      <c r="J74" s="126" t="s">
        <v>52</v>
      </c>
      <c r="K74" s="166">
        <v>0</v>
      </c>
      <c r="L74" s="1"/>
    </row>
    <row r="75" spans="2:12" ht="15.75" hidden="1" thickBot="1" x14ac:dyDescent="0.3">
      <c r="B75" s="1"/>
      <c r="C75" s="1" t="s">
        <v>244</v>
      </c>
      <c r="D75" s="142" t="s">
        <v>234</v>
      </c>
      <c r="E75" s="189" cm="1">
        <f t="array" ref="E75">_xlfn.IFS(VLOOKUP("Term of Invoice",'Invoice Details'!C:D,2,0)="24 Months",VLOOKUP("GSM10 Total",C:E,3,0)*24,VLOOKUP("Term of Invoice",'Invoice Details'!C:D,2,0)="12 Months",VLOOKUP("GSM10 Total",C:E,3,0)*12)</f>
        <v>0</v>
      </c>
      <c r="F75" s="1"/>
      <c r="H75" s="1"/>
      <c r="I75" s="1" t="s">
        <v>276</v>
      </c>
      <c r="J75" s="127" t="s">
        <v>53</v>
      </c>
      <c r="K75" s="186" cm="1">
        <f t="array" ref="K75">IFERROR(_xlfn.IFS(VLOOKUP("Term of Invoice",'Invoice Details'!C:D,2,0)="12 Months",VLOOKUP("GSM10 Tax Total",I:K,3,0)*VLOOKUP("GSM10 Quantity",C:E,3,0)*12,VLOOKUP("Term of Invoice",'Invoice Details'!C:D,2,0)="24 Months",VLOOKUP("GSM10 Tax Total",I:K,3,0)*VLOOKUP("GSM10 Quantity",C:E,3,0)*24),"Review")</f>
        <v>0</v>
      </c>
      <c r="L75" s="1"/>
    </row>
    <row r="76" spans="2:12" ht="15.75" thickBot="1" x14ac:dyDescent="0.3">
      <c r="B76" s="1"/>
      <c r="C76" s="1"/>
      <c r="D76" s="1"/>
      <c r="E76" s="1"/>
      <c r="F76" s="1"/>
      <c r="H76" s="1"/>
      <c r="I76" s="1"/>
      <c r="J76" s="1"/>
      <c r="K76" s="1"/>
      <c r="L76" s="1"/>
    </row>
    <row r="77" spans="2:12" ht="15.75" thickBot="1" x14ac:dyDescent="0.3">
      <c r="B77" s="1"/>
      <c r="C77" s="1"/>
      <c r="D77" s="135" t="s">
        <v>59</v>
      </c>
      <c r="E77" s="182">
        <f>SUM(E12,E19,E26,E33,E40,E47,E54,E61,E68,E75)</f>
        <v>0</v>
      </c>
      <c r="F77" s="1"/>
      <c r="H77" s="1"/>
      <c r="I77" s="1" t="s">
        <v>277</v>
      </c>
      <c r="J77" s="136" t="s">
        <v>278</v>
      </c>
      <c r="K77" s="183">
        <f>SUM(K12,K19,K26,K33,K40,K47,K54,K61,K68,K75)</f>
        <v>0</v>
      </c>
      <c r="L77" s="1"/>
    </row>
    <row r="78" spans="2:12" x14ac:dyDescent="0.25">
      <c r="B78" s="1"/>
      <c r="C78" s="1"/>
      <c r="D78" s="1"/>
      <c r="E78" s="1"/>
      <c r="F78" s="1"/>
      <c r="H78" s="1"/>
      <c r="I78" s="1"/>
      <c r="J78" s="1"/>
      <c r="K78" s="1"/>
      <c r="L78" s="1"/>
    </row>
  </sheetData>
  <mergeCells count="43">
    <mergeCell ref="D3:E3"/>
    <mergeCell ref="J3:K3"/>
    <mergeCell ref="J7:K7"/>
    <mergeCell ref="J8:K8"/>
    <mergeCell ref="J9:K9"/>
    <mergeCell ref="J10:K10"/>
    <mergeCell ref="J14:K14"/>
    <mergeCell ref="J15:K15"/>
    <mergeCell ref="J16:K16"/>
    <mergeCell ref="J17:K17"/>
    <mergeCell ref="J21:K21"/>
    <mergeCell ref="J22:K22"/>
    <mergeCell ref="J23:K23"/>
    <mergeCell ref="J24:K24"/>
    <mergeCell ref="J28:K28"/>
    <mergeCell ref="J29:K29"/>
    <mergeCell ref="J30:K30"/>
    <mergeCell ref="J31:K31"/>
    <mergeCell ref="J35:K35"/>
    <mergeCell ref="J36:K36"/>
    <mergeCell ref="J51:K51"/>
    <mergeCell ref="J52:K52"/>
    <mergeCell ref="J37:K37"/>
    <mergeCell ref="J38:K38"/>
    <mergeCell ref="J42:K42"/>
    <mergeCell ref="J43:K43"/>
    <mergeCell ref="J44:K44"/>
    <mergeCell ref="J72:K72"/>
    <mergeCell ref="J73:K73"/>
    <mergeCell ref="J5:K5"/>
    <mergeCell ref="J64:K64"/>
    <mergeCell ref="J65:K65"/>
    <mergeCell ref="J66:K66"/>
    <mergeCell ref="J70:K70"/>
    <mergeCell ref="J71:K71"/>
    <mergeCell ref="J56:K56"/>
    <mergeCell ref="J57:K57"/>
    <mergeCell ref="J58:K58"/>
    <mergeCell ref="J59:K59"/>
    <mergeCell ref="J63:K63"/>
    <mergeCell ref="J45:K45"/>
    <mergeCell ref="J49:K49"/>
    <mergeCell ref="J50:K50"/>
  </mergeCells>
  <dataValidations count="1">
    <dataValidation type="list" allowBlank="1" showInputMessage="1" showErrorMessage="1" sqref="E5" xr:uid="{5DC6CD02-41EF-416B-965C-A29AD66759BC}">
      <formula1>"0,1,2,3,4,5,6,7,8,9,10"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7943-7629-4CD9-9242-6DE10131A557}">
  <sheetPr codeName="Sheet6">
    <tabColor rgb="FF002060"/>
  </sheetPr>
  <dimension ref="B2:L78"/>
  <sheetViews>
    <sheetView workbookViewId="0">
      <selection activeCell="X8" sqref="X8"/>
    </sheetView>
  </sheetViews>
  <sheetFormatPr defaultRowHeight="15" x14ac:dyDescent="0.25"/>
  <cols>
    <col min="1" max="2" width="2.85546875" style="2" customWidth="1"/>
    <col min="3" max="3" width="14.42578125" style="2" hidden="1" customWidth="1"/>
    <col min="4" max="4" width="33.140625" style="2" bestFit="1" customWidth="1"/>
    <col min="5" max="5" width="28.140625" style="2" bestFit="1" customWidth="1"/>
    <col min="6" max="8" width="2.85546875" style="2" customWidth="1"/>
    <col min="9" max="9" width="14" style="2" hidden="1" customWidth="1"/>
    <col min="10" max="10" width="43.85546875" style="2" customWidth="1"/>
    <col min="11" max="11" width="9.140625" style="2"/>
    <col min="12" max="12" width="2.85546875" style="2" customWidth="1"/>
    <col min="13" max="16384" width="9.140625" style="2"/>
  </cols>
  <sheetData>
    <row r="2" spans="2:12" x14ac:dyDescent="0.25">
      <c r="B2" s="1"/>
      <c r="C2" s="1"/>
      <c r="D2" s="1"/>
      <c r="E2" s="1"/>
      <c r="F2" s="1"/>
      <c r="H2" s="1"/>
      <c r="I2" s="1"/>
      <c r="J2" s="1"/>
      <c r="K2" s="1"/>
      <c r="L2" s="1"/>
    </row>
    <row r="3" spans="2:12" x14ac:dyDescent="0.25">
      <c r="B3" s="1"/>
      <c r="C3" s="1"/>
      <c r="D3" s="229" t="s">
        <v>75</v>
      </c>
      <c r="E3" s="230"/>
      <c r="F3" s="1"/>
      <c r="H3" s="1"/>
      <c r="I3" s="1"/>
      <c r="J3" s="229" t="s">
        <v>76</v>
      </c>
      <c r="K3" s="230"/>
      <c r="L3" s="1"/>
    </row>
    <row r="4" spans="2:12" ht="15.75" thickBot="1" x14ac:dyDescent="0.3">
      <c r="B4" s="1"/>
      <c r="C4" s="1"/>
      <c r="D4" s="1"/>
      <c r="E4" s="1"/>
      <c r="F4" s="1"/>
      <c r="H4" s="1"/>
      <c r="I4" s="1"/>
      <c r="J4" s="1"/>
      <c r="K4" s="1"/>
      <c r="L4" s="1"/>
    </row>
    <row r="5" spans="2:12" ht="15.75" thickBot="1" x14ac:dyDescent="0.3">
      <c r="B5" s="1"/>
      <c r="C5" s="1"/>
      <c r="D5" s="137" t="s">
        <v>19</v>
      </c>
      <c r="E5" s="132">
        <v>0</v>
      </c>
      <c r="F5" s="1"/>
      <c r="H5" s="1"/>
      <c r="I5" s="1"/>
      <c r="J5" s="235" t="s">
        <v>304</v>
      </c>
      <c r="K5" s="236"/>
      <c r="L5" s="1"/>
    </row>
    <row r="6" spans="2:12" ht="15.75" hidden="1" thickBot="1" x14ac:dyDescent="0.3">
      <c r="B6" s="1"/>
      <c r="C6" s="1"/>
      <c r="D6" s="1"/>
      <c r="E6" s="1"/>
      <c r="F6" s="1"/>
      <c r="H6" s="1"/>
      <c r="I6" s="1"/>
      <c r="J6" s="1"/>
      <c r="K6" s="1"/>
      <c r="L6" s="1"/>
    </row>
    <row r="7" spans="2:12" hidden="1" x14ac:dyDescent="0.25">
      <c r="B7" s="1"/>
      <c r="C7" s="1" t="s">
        <v>172</v>
      </c>
      <c r="D7" s="133" t="s">
        <v>55</v>
      </c>
      <c r="E7" s="170"/>
      <c r="F7" s="1"/>
      <c r="H7" s="1"/>
      <c r="I7" s="1"/>
      <c r="J7" s="237" t="s">
        <v>305</v>
      </c>
      <c r="K7" s="238"/>
      <c r="L7" s="1"/>
    </row>
    <row r="8" spans="2:12" hidden="1" x14ac:dyDescent="0.25">
      <c r="B8" s="1"/>
      <c r="C8" s="1" t="s">
        <v>173</v>
      </c>
      <c r="D8" s="88" t="s">
        <v>26</v>
      </c>
      <c r="E8" s="171"/>
      <c r="F8" s="1"/>
      <c r="H8" s="1"/>
      <c r="I8" s="1"/>
      <c r="J8" s="233" t="s">
        <v>305</v>
      </c>
      <c r="K8" s="234"/>
      <c r="L8" s="1"/>
    </row>
    <row r="9" spans="2:12" hidden="1" x14ac:dyDescent="0.25">
      <c r="B9" s="1"/>
      <c r="C9" s="1" t="s">
        <v>174</v>
      </c>
      <c r="D9" s="124" t="s">
        <v>20</v>
      </c>
      <c r="E9" s="171"/>
      <c r="F9" s="1"/>
      <c r="H9" s="1"/>
      <c r="I9" s="1"/>
      <c r="J9" s="233" t="s">
        <v>305</v>
      </c>
      <c r="K9" s="234"/>
      <c r="L9" s="1"/>
    </row>
    <row r="10" spans="2:12" hidden="1" x14ac:dyDescent="0.25">
      <c r="B10" s="1"/>
      <c r="C10" s="1" t="s">
        <v>175</v>
      </c>
      <c r="D10" s="134" t="s">
        <v>21</v>
      </c>
      <c r="E10" s="172"/>
      <c r="F10" s="1"/>
      <c r="H10" s="1"/>
      <c r="I10" s="1"/>
      <c r="J10" s="233" t="s">
        <v>305</v>
      </c>
      <c r="K10" s="234"/>
      <c r="L10" s="1"/>
    </row>
    <row r="11" spans="2:12" hidden="1" x14ac:dyDescent="0.25">
      <c r="B11" s="1"/>
      <c r="C11" s="1" t="s">
        <v>222</v>
      </c>
      <c r="D11" s="124" t="s">
        <v>233</v>
      </c>
      <c r="E11" s="160">
        <f>(IFERROR(VLOOKUP("MI1 Cost", C:E,3,0),"Review"))*(IFERROR(VLOOKUP("MI1 Quantity",C:E,3,0),"Review"))</f>
        <v>0</v>
      </c>
      <c r="F11" s="1"/>
      <c r="H11" s="1"/>
      <c r="I11" s="1" t="s">
        <v>279</v>
      </c>
      <c r="J11" s="126" t="s">
        <v>52</v>
      </c>
      <c r="K11" s="166">
        <v>0</v>
      </c>
      <c r="L11" s="1"/>
    </row>
    <row r="12" spans="2:12" ht="15.75" hidden="1" thickBot="1" x14ac:dyDescent="0.3">
      <c r="B12" s="1"/>
      <c r="C12" s="1" t="s">
        <v>245</v>
      </c>
      <c r="D12" s="123" t="s">
        <v>234</v>
      </c>
      <c r="E12" s="161" cm="1">
        <f t="array" ref="E12">_xlfn.IFS(VLOOKUP("Term of Invoice",'Invoice Details'!C:D,2,0)="24 Months",VLOOKUP("MI1 Total",C:E,3,0)*24,VLOOKUP("Term of Invoice",'Invoice Details'!C:D,2,0)="12 Months",VLOOKUP("MI1 Total",C:E,3,0)*12)</f>
        <v>0</v>
      </c>
      <c r="F12" s="1"/>
      <c r="H12" s="1"/>
      <c r="I12" s="1" t="s">
        <v>280</v>
      </c>
      <c r="J12" s="127" t="s">
        <v>53</v>
      </c>
      <c r="K12" s="159" cm="1">
        <f t="array" ref="K12">IFERROR(_xlfn.IFS(VLOOKUP("Term of Invoice",'Invoice Details'!C:D,2,0)="12 Months",VLOOKUP("MI1 Tax Total",I:K,3,0)*VLOOKUP("MI1 Quantity",C:E,3,0)*12,VLOOKUP("Term of Invoice",'Invoice Details'!C:D,2,0)="24 Months",VLOOKUP("MI1 Tax Total",I:K,3,0)*VLOOKUP("MI1 Quantity",C:E,3,0)*24),"Review")</f>
        <v>0</v>
      </c>
      <c r="L12" s="1"/>
    </row>
    <row r="13" spans="2:12" ht="15.75" hidden="1" thickBot="1" x14ac:dyDescent="0.3">
      <c r="B13" s="1"/>
      <c r="C13" s="1"/>
      <c r="D13" s="1"/>
      <c r="E13" s="1"/>
      <c r="F13" s="1"/>
      <c r="H13" s="1"/>
      <c r="I13" s="1"/>
      <c r="J13" s="1"/>
      <c r="K13" s="1"/>
      <c r="L13" s="1"/>
    </row>
    <row r="14" spans="2:12" hidden="1" x14ac:dyDescent="0.25">
      <c r="B14" s="1"/>
      <c r="C14" s="1" t="s">
        <v>176</v>
      </c>
      <c r="D14" s="133" t="s">
        <v>55</v>
      </c>
      <c r="E14" s="170"/>
      <c r="F14" s="1"/>
      <c r="H14" s="1"/>
      <c r="I14" s="1"/>
      <c r="J14" s="237" t="s">
        <v>305</v>
      </c>
      <c r="K14" s="238"/>
      <c r="L14" s="1"/>
    </row>
    <row r="15" spans="2:12" hidden="1" x14ac:dyDescent="0.25">
      <c r="B15" s="1"/>
      <c r="C15" s="1" t="s">
        <v>177</v>
      </c>
      <c r="D15" s="88" t="s">
        <v>26</v>
      </c>
      <c r="E15" s="171"/>
      <c r="F15" s="1"/>
      <c r="H15" s="1"/>
      <c r="I15" s="1"/>
      <c r="J15" s="233" t="s">
        <v>305</v>
      </c>
      <c r="K15" s="234"/>
      <c r="L15" s="1"/>
    </row>
    <row r="16" spans="2:12" hidden="1" x14ac:dyDescent="0.25">
      <c r="B16" s="1"/>
      <c r="C16" s="1" t="s">
        <v>178</v>
      </c>
      <c r="D16" s="143" t="s">
        <v>20</v>
      </c>
      <c r="E16" s="171"/>
      <c r="F16" s="1"/>
      <c r="H16" s="1"/>
      <c r="I16" s="1"/>
      <c r="J16" s="233" t="s">
        <v>305</v>
      </c>
      <c r="K16" s="234"/>
      <c r="L16" s="1"/>
    </row>
    <row r="17" spans="2:12" hidden="1" x14ac:dyDescent="0.25">
      <c r="B17" s="1"/>
      <c r="C17" s="1" t="s">
        <v>179</v>
      </c>
      <c r="D17" s="134" t="s">
        <v>21</v>
      </c>
      <c r="E17" s="172"/>
      <c r="F17" s="1"/>
      <c r="H17" s="1"/>
      <c r="I17" s="1"/>
      <c r="J17" s="233" t="s">
        <v>305</v>
      </c>
      <c r="K17" s="234"/>
      <c r="L17" s="1"/>
    </row>
    <row r="18" spans="2:12" hidden="1" x14ac:dyDescent="0.25">
      <c r="B18" s="1"/>
      <c r="C18" s="1" t="s">
        <v>223</v>
      </c>
      <c r="D18" s="143" t="s">
        <v>233</v>
      </c>
      <c r="E18" s="160">
        <f>(IFERROR(VLOOKUP("MI2 Cost", C:E,3,0),"Review"))*(IFERROR(VLOOKUP("MI2 Quantity",C:E,3,0),"Review"))</f>
        <v>0</v>
      </c>
      <c r="F18" s="1"/>
      <c r="H18" s="1"/>
      <c r="I18" s="1" t="s">
        <v>281</v>
      </c>
      <c r="J18" s="126" t="s">
        <v>52</v>
      </c>
      <c r="K18" s="166">
        <v>0</v>
      </c>
      <c r="L18" s="1"/>
    </row>
    <row r="19" spans="2:12" ht="15.75" hidden="1" thickBot="1" x14ac:dyDescent="0.3">
      <c r="B19" s="1"/>
      <c r="C19" s="1" t="s">
        <v>246</v>
      </c>
      <c r="D19" s="142" t="s">
        <v>234</v>
      </c>
      <c r="E19" s="161" cm="1">
        <f t="array" ref="E19">_xlfn.IFS(VLOOKUP("Term of Invoice",'Invoice Details'!C:D,2,0)="24 Months",VLOOKUP("MI2 Total",C:E,3,0)*24,VLOOKUP("Term of Invoice",'Invoice Details'!C:D,2,0)="12 Months",VLOOKUP("MI2 Total",C:E,3,0)*12)</f>
        <v>0</v>
      </c>
      <c r="F19" s="1"/>
      <c r="H19" s="1"/>
      <c r="I19" s="1" t="s">
        <v>282</v>
      </c>
      <c r="J19" s="127" t="s">
        <v>53</v>
      </c>
      <c r="K19" s="159" cm="1">
        <f t="array" ref="K19">IFERROR(_xlfn.IFS(VLOOKUP("Term of Invoice",'Invoice Details'!C:D,2,0)="12 Months",VLOOKUP("MI2 Tax Total",I:K,3,0)*VLOOKUP("MI2 Quantity",C:E,3,0)*12,VLOOKUP("Term of Invoice",'Invoice Details'!C:D,2,0)="24 Months",VLOOKUP("MI2 Tax Total",I:K,3,0)*VLOOKUP("MI2 Quantity",C:E,3,0)*24),"Review")</f>
        <v>0</v>
      </c>
      <c r="L19" s="1"/>
    </row>
    <row r="20" spans="2:12" ht="15.75" hidden="1" thickBot="1" x14ac:dyDescent="0.3">
      <c r="B20" s="1"/>
      <c r="C20" s="1"/>
      <c r="D20" s="1"/>
      <c r="E20" s="1"/>
      <c r="F20" s="1"/>
      <c r="H20" s="1"/>
      <c r="I20" s="1"/>
      <c r="J20" s="1"/>
      <c r="K20" s="1"/>
      <c r="L20" s="1"/>
    </row>
    <row r="21" spans="2:12" hidden="1" x14ac:dyDescent="0.25">
      <c r="B21" s="1"/>
      <c r="C21" s="1" t="s">
        <v>180</v>
      </c>
      <c r="D21" s="133" t="s">
        <v>55</v>
      </c>
      <c r="E21" s="170"/>
      <c r="F21" s="1"/>
      <c r="H21" s="1"/>
      <c r="I21" s="1"/>
      <c r="J21" s="237" t="s">
        <v>305</v>
      </c>
      <c r="K21" s="238"/>
      <c r="L21" s="1"/>
    </row>
    <row r="22" spans="2:12" hidden="1" x14ac:dyDescent="0.25">
      <c r="B22" s="1"/>
      <c r="C22" s="1" t="s">
        <v>181</v>
      </c>
      <c r="D22" s="88" t="s">
        <v>26</v>
      </c>
      <c r="E22" s="171"/>
      <c r="F22" s="1"/>
      <c r="H22" s="1"/>
      <c r="I22" s="1"/>
      <c r="J22" s="233" t="s">
        <v>305</v>
      </c>
      <c r="K22" s="234"/>
      <c r="L22" s="1"/>
    </row>
    <row r="23" spans="2:12" hidden="1" x14ac:dyDescent="0.25">
      <c r="B23" s="1"/>
      <c r="C23" s="1" t="s">
        <v>182</v>
      </c>
      <c r="D23" s="143" t="s">
        <v>20</v>
      </c>
      <c r="E23" s="171"/>
      <c r="F23" s="1"/>
      <c r="H23" s="1"/>
      <c r="I23" s="1"/>
      <c r="J23" s="233" t="s">
        <v>305</v>
      </c>
      <c r="K23" s="234"/>
      <c r="L23" s="1"/>
    </row>
    <row r="24" spans="2:12" hidden="1" x14ac:dyDescent="0.25">
      <c r="B24" s="1"/>
      <c r="C24" s="1" t="s">
        <v>183</v>
      </c>
      <c r="D24" s="134" t="s">
        <v>21</v>
      </c>
      <c r="E24" s="172"/>
      <c r="F24" s="1"/>
      <c r="H24" s="1"/>
      <c r="I24" s="1"/>
      <c r="J24" s="233" t="s">
        <v>305</v>
      </c>
      <c r="K24" s="234"/>
      <c r="L24" s="1"/>
    </row>
    <row r="25" spans="2:12" hidden="1" x14ac:dyDescent="0.25">
      <c r="B25" s="1"/>
      <c r="C25" s="1" t="s">
        <v>224</v>
      </c>
      <c r="D25" s="143" t="s">
        <v>233</v>
      </c>
      <c r="E25" s="160">
        <f>(IFERROR(VLOOKUP("MI3 Cost", C:E,3,0),"Review"))*(IFERROR(VLOOKUP("MI3 Quantity",C:E,3,0),"Review"))</f>
        <v>0</v>
      </c>
      <c r="F25" s="1"/>
      <c r="H25" s="1"/>
      <c r="I25" s="1" t="s">
        <v>283</v>
      </c>
      <c r="J25" s="126" t="s">
        <v>52</v>
      </c>
      <c r="K25" s="166">
        <v>0</v>
      </c>
      <c r="L25" s="1"/>
    </row>
    <row r="26" spans="2:12" ht="15.75" hidden="1" thickBot="1" x14ac:dyDescent="0.3">
      <c r="B26" s="1"/>
      <c r="C26" s="1" t="s">
        <v>247</v>
      </c>
      <c r="D26" s="142" t="s">
        <v>234</v>
      </c>
      <c r="E26" s="161" cm="1">
        <f t="array" ref="E26">_xlfn.IFS(VLOOKUP("Term of Invoice",'Invoice Details'!C:D,2,0)="24 Months",VLOOKUP("MI3 Total",C:E,3,0)*24,VLOOKUP("Term of Invoice",'Invoice Details'!C:D,2,0)="12 Months",VLOOKUP("MI3 Total",C:E,3,0)*12)</f>
        <v>0</v>
      </c>
      <c r="F26" s="1"/>
      <c r="H26" s="1"/>
      <c r="I26" s="1" t="s">
        <v>284</v>
      </c>
      <c r="J26" s="127" t="s">
        <v>53</v>
      </c>
      <c r="K26" s="159" cm="1">
        <f t="array" ref="K26">IFERROR(_xlfn.IFS(VLOOKUP("Term of Invoice",'Invoice Details'!C:D,2,0)="12 Months",VLOOKUP("MI3 Tax Total",I:K,3,0)*VLOOKUP("MI3 Quantity",C:E,3,0)*12,VLOOKUP("Term of Invoice",'Invoice Details'!C:D,2,0)="24 Months",VLOOKUP("MI3 Tax Total",I:K,3,0)*VLOOKUP("MI3 Quantity",C:E,3,0)*24),"Review")</f>
        <v>0</v>
      </c>
      <c r="L26" s="1"/>
    </row>
    <row r="27" spans="2:12" ht="15.75" hidden="1" thickBot="1" x14ac:dyDescent="0.3">
      <c r="B27" s="1"/>
      <c r="C27" s="1"/>
      <c r="D27" s="1"/>
      <c r="E27" s="1"/>
      <c r="F27" s="1"/>
      <c r="H27" s="1"/>
      <c r="I27" s="1"/>
      <c r="J27" s="1"/>
      <c r="K27" s="1"/>
      <c r="L27" s="1"/>
    </row>
    <row r="28" spans="2:12" hidden="1" x14ac:dyDescent="0.25">
      <c r="B28" s="1"/>
      <c r="C28" s="1" t="s">
        <v>184</v>
      </c>
      <c r="D28" s="133" t="s">
        <v>55</v>
      </c>
      <c r="E28" s="170"/>
      <c r="F28" s="1"/>
      <c r="H28" s="1"/>
      <c r="I28" s="1"/>
      <c r="J28" s="237" t="s">
        <v>305</v>
      </c>
      <c r="K28" s="238"/>
      <c r="L28" s="1"/>
    </row>
    <row r="29" spans="2:12" hidden="1" x14ac:dyDescent="0.25">
      <c r="B29" s="1"/>
      <c r="C29" s="1" t="s">
        <v>185</v>
      </c>
      <c r="D29" s="88" t="s">
        <v>26</v>
      </c>
      <c r="E29" s="171"/>
      <c r="F29" s="1"/>
      <c r="H29" s="1"/>
      <c r="I29" s="1"/>
      <c r="J29" s="233" t="s">
        <v>305</v>
      </c>
      <c r="K29" s="234"/>
      <c r="L29" s="1"/>
    </row>
    <row r="30" spans="2:12" hidden="1" x14ac:dyDescent="0.25">
      <c r="B30" s="1"/>
      <c r="C30" s="1" t="s">
        <v>186</v>
      </c>
      <c r="D30" s="143" t="s">
        <v>20</v>
      </c>
      <c r="E30" s="171"/>
      <c r="F30" s="1"/>
      <c r="H30" s="1"/>
      <c r="I30" s="1"/>
      <c r="J30" s="233" t="s">
        <v>305</v>
      </c>
      <c r="K30" s="234"/>
      <c r="L30" s="1"/>
    </row>
    <row r="31" spans="2:12" hidden="1" x14ac:dyDescent="0.25">
      <c r="B31" s="1"/>
      <c r="C31" s="1" t="s">
        <v>187</v>
      </c>
      <c r="D31" s="134" t="s">
        <v>21</v>
      </c>
      <c r="E31" s="172"/>
      <c r="F31" s="1"/>
      <c r="H31" s="1"/>
      <c r="I31" s="1"/>
      <c r="J31" s="233" t="s">
        <v>305</v>
      </c>
      <c r="K31" s="234"/>
      <c r="L31" s="1"/>
    </row>
    <row r="32" spans="2:12" hidden="1" x14ac:dyDescent="0.25">
      <c r="B32" s="1"/>
      <c r="C32" s="1" t="s">
        <v>225</v>
      </c>
      <c r="D32" s="143" t="s">
        <v>233</v>
      </c>
      <c r="E32" s="160">
        <f>(IFERROR(VLOOKUP("MI4 Cost", C:E,3,0),"Review"))*(IFERROR(VLOOKUP("MI4 Quantity",C:E,3,0),"Review"))</f>
        <v>0</v>
      </c>
      <c r="F32" s="1"/>
      <c r="H32" s="1"/>
      <c r="I32" s="1" t="s">
        <v>285</v>
      </c>
      <c r="J32" s="126" t="s">
        <v>52</v>
      </c>
      <c r="K32" s="166">
        <v>0</v>
      </c>
      <c r="L32" s="1"/>
    </row>
    <row r="33" spans="2:12" ht="15.75" hidden="1" thickBot="1" x14ac:dyDescent="0.3">
      <c r="B33" s="1"/>
      <c r="C33" s="1" t="s">
        <v>248</v>
      </c>
      <c r="D33" s="142" t="s">
        <v>234</v>
      </c>
      <c r="E33" s="161" cm="1">
        <f t="array" ref="E33">_xlfn.IFS(VLOOKUP("Term of Invoice",'Invoice Details'!C:D,2,0)="24 Months",VLOOKUP("MI4 Total",C:E,3,0)*24,VLOOKUP("Term of Invoice",'Invoice Details'!C:D,2,0)="12 Months",VLOOKUP("MI4 Total",C:E,3,0)*12)</f>
        <v>0</v>
      </c>
      <c r="F33" s="1"/>
      <c r="H33" s="1"/>
      <c r="I33" s="1" t="s">
        <v>286</v>
      </c>
      <c r="J33" s="127" t="s">
        <v>53</v>
      </c>
      <c r="K33" s="159" cm="1">
        <f t="array" ref="K33">IFERROR(_xlfn.IFS(VLOOKUP("Term of Invoice",'Invoice Details'!C:D,2,0)="12 Months",VLOOKUP("MI4 Tax Total",I:K,3,0)*VLOOKUP("MI4 Quantity",C:E,3,0)*12,VLOOKUP("Term of Invoice",'Invoice Details'!C:D,2,0)="24 Months",VLOOKUP("MI4 Tax Total",I:K,3,0)*VLOOKUP("MI4 Quantity",C:E,3,0)*24),"Review")</f>
        <v>0</v>
      </c>
      <c r="L33" s="1"/>
    </row>
    <row r="34" spans="2:12" ht="15.75" hidden="1" thickBot="1" x14ac:dyDescent="0.3">
      <c r="B34" s="1"/>
      <c r="C34" s="1"/>
      <c r="D34" s="1"/>
      <c r="E34" s="1"/>
      <c r="F34" s="1"/>
      <c r="H34" s="1"/>
      <c r="I34" s="1"/>
      <c r="J34" s="1"/>
      <c r="K34" s="1"/>
      <c r="L34" s="1"/>
    </row>
    <row r="35" spans="2:12" hidden="1" x14ac:dyDescent="0.25">
      <c r="B35" s="1"/>
      <c r="C35" s="1" t="s">
        <v>188</v>
      </c>
      <c r="D35" s="133" t="s">
        <v>55</v>
      </c>
      <c r="E35" s="170"/>
      <c r="F35" s="1"/>
      <c r="H35" s="1"/>
      <c r="I35" s="1"/>
      <c r="J35" s="237" t="s">
        <v>305</v>
      </c>
      <c r="K35" s="238"/>
      <c r="L35" s="1"/>
    </row>
    <row r="36" spans="2:12" hidden="1" x14ac:dyDescent="0.25">
      <c r="B36" s="1"/>
      <c r="C36" s="1" t="s">
        <v>189</v>
      </c>
      <c r="D36" s="88" t="s">
        <v>26</v>
      </c>
      <c r="E36" s="171"/>
      <c r="F36" s="1"/>
      <c r="H36" s="1"/>
      <c r="I36" s="1"/>
      <c r="J36" s="233" t="s">
        <v>305</v>
      </c>
      <c r="K36" s="234"/>
      <c r="L36" s="1"/>
    </row>
    <row r="37" spans="2:12" hidden="1" x14ac:dyDescent="0.25">
      <c r="B37" s="1"/>
      <c r="C37" s="1" t="s">
        <v>190</v>
      </c>
      <c r="D37" s="143" t="s">
        <v>20</v>
      </c>
      <c r="E37" s="171"/>
      <c r="F37" s="1"/>
      <c r="H37" s="1"/>
      <c r="I37" s="1"/>
      <c r="J37" s="233" t="s">
        <v>305</v>
      </c>
      <c r="K37" s="234"/>
      <c r="L37" s="1"/>
    </row>
    <row r="38" spans="2:12" hidden="1" x14ac:dyDescent="0.25">
      <c r="B38" s="1"/>
      <c r="C38" s="1" t="s">
        <v>191</v>
      </c>
      <c r="D38" s="134" t="s">
        <v>21</v>
      </c>
      <c r="E38" s="172"/>
      <c r="F38" s="1"/>
      <c r="H38" s="1"/>
      <c r="I38" s="1"/>
      <c r="J38" s="233" t="s">
        <v>305</v>
      </c>
      <c r="K38" s="234"/>
      <c r="L38" s="1"/>
    </row>
    <row r="39" spans="2:12" hidden="1" x14ac:dyDescent="0.25">
      <c r="B39" s="1"/>
      <c r="C39" s="1" t="s">
        <v>226</v>
      </c>
      <c r="D39" s="143" t="s">
        <v>233</v>
      </c>
      <c r="E39" s="160">
        <f>(IFERROR(VLOOKUP("MI5 Cost", C:E,3,0),"Review"))*(IFERROR(VLOOKUP("MI5 Quantity",C:E,3,0),"Review"))</f>
        <v>0</v>
      </c>
      <c r="F39" s="1"/>
      <c r="H39" s="1"/>
      <c r="I39" s="1" t="s">
        <v>287</v>
      </c>
      <c r="J39" s="126" t="s">
        <v>52</v>
      </c>
      <c r="K39" s="166">
        <v>0</v>
      </c>
      <c r="L39" s="1"/>
    </row>
    <row r="40" spans="2:12" ht="15.75" hidden="1" thickBot="1" x14ac:dyDescent="0.3">
      <c r="B40" s="1"/>
      <c r="C40" s="1" t="s">
        <v>249</v>
      </c>
      <c r="D40" s="142" t="s">
        <v>234</v>
      </c>
      <c r="E40" s="161" cm="1">
        <f t="array" ref="E40">_xlfn.IFS(VLOOKUP("Term of Invoice",'Invoice Details'!C:D,2,0)="24 Months",VLOOKUP("MI5 Total",C:E,3,0)*24,VLOOKUP("Term of Invoice",'Invoice Details'!C:D,2,0)="12 Months",VLOOKUP("MI5 Total",C:E,3,0)*12)</f>
        <v>0</v>
      </c>
      <c r="F40" s="1"/>
      <c r="H40" s="1"/>
      <c r="I40" s="1" t="s">
        <v>288</v>
      </c>
      <c r="J40" s="127" t="s">
        <v>53</v>
      </c>
      <c r="K40" s="159" cm="1">
        <f t="array" ref="K40">IFERROR(_xlfn.IFS(VLOOKUP("Term of Invoice",'Invoice Details'!C:D,2,0)="12 Months",VLOOKUP("MI5 Tax Total",I:K,3,0)*VLOOKUP("MI5 Quantity",C:E,3,0)*12,VLOOKUP("Term of Invoice",'Invoice Details'!C:D,2,0)="24 Months",VLOOKUP("MI5 Tax Total",I:K,3,0)*VLOOKUP("MI5 Quantity",C:E,3,0)*24),"Review")</f>
        <v>0</v>
      </c>
      <c r="L40" s="1"/>
    </row>
    <row r="41" spans="2:12" ht="15.75" hidden="1" thickBot="1" x14ac:dyDescent="0.3">
      <c r="B41" s="1"/>
      <c r="C41" s="1"/>
      <c r="D41" s="1"/>
      <c r="E41" s="1"/>
      <c r="F41" s="1"/>
      <c r="H41" s="1"/>
      <c r="I41" s="1"/>
      <c r="J41" s="1"/>
      <c r="K41" s="1"/>
      <c r="L41" s="1"/>
    </row>
    <row r="42" spans="2:12" hidden="1" x14ac:dyDescent="0.25">
      <c r="B42" s="1"/>
      <c r="C42" s="1" t="s">
        <v>192</v>
      </c>
      <c r="D42" s="133" t="s">
        <v>55</v>
      </c>
      <c r="E42" s="170"/>
      <c r="F42" s="1"/>
      <c r="H42" s="1"/>
      <c r="I42" s="1"/>
      <c r="J42" s="237" t="s">
        <v>305</v>
      </c>
      <c r="K42" s="238"/>
      <c r="L42" s="1"/>
    </row>
    <row r="43" spans="2:12" hidden="1" x14ac:dyDescent="0.25">
      <c r="B43" s="1"/>
      <c r="C43" s="1" t="s">
        <v>193</v>
      </c>
      <c r="D43" s="88" t="s">
        <v>26</v>
      </c>
      <c r="E43" s="171"/>
      <c r="F43" s="1"/>
      <c r="H43" s="1"/>
      <c r="I43" s="1"/>
      <c r="J43" s="233" t="s">
        <v>305</v>
      </c>
      <c r="K43" s="234"/>
      <c r="L43" s="1"/>
    </row>
    <row r="44" spans="2:12" hidden="1" x14ac:dyDescent="0.25">
      <c r="B44" s="1"/>
      <c r="C44" s="1" t="s">
        <v>194</v>
      </c>
      <c r="D44" s="143" t="s">
        <v>20</v>
      </c>
      <c r="E44" s="171"/>
      <c r="F44" s="1"/>
      <c r="H44" s="1"/>
      <c r="I44" s="1"/>
      <c r="J44" s="233" t="s">
        <v>305</v>
      </c>
      <c r="K44" s="234"/>
      <c r="L44" s="1"/>
    </row>
    <row r="45" spans="2:12" hidden="1" x14ac:dyDescent="0.25">
      <c r="B45" s="1"/>
      <c r="C45" s="1" t="s">
        <v>195</v>
      </c>
      <c r="D45" s="134" t="s">
        <v>21</v>
      </c>
      <c r="E45" s="172"/>
      <c r="F45" s="1"/>
      <c r="H45" s="1"/>
      <c r="I45" s="1"/>
      <c r="J45" s="233" t="s">
        <v>305</v>
      </c>
      <c r="K45" s="234"/>
      <c r="L45" s="1"/>
    </row>
    <row r="46" spans="2:12" hidden="1" x14ac:dyDescent="0.25">
      <c r="B46" s="1"/>
      <c r="C46" s="1" t="s">
        <v>227</v>
      </c>
      <c r="D46" s="143" t="s">
        <v>233</v>
      </c>
      <c r="E46" s="160">
        <f>(IFERROR(VLOOKUP("MI6 Cost", C:E,3,0),"Review"))*(IFERROR(VLOOKUP("MI6 Quantity",C:E,3,0),"Review"))</f>
        <v>0</v>
      </c>
      <c r="F46" s="1"/>
      <c r="H46" s="1"/>
      <c r="I46" s="1" t="s">
        <v>289</v>
      </c>
      <c r="J46" s="126" t="s">
        <v>52</v>
      </c>
      <c r="K46" s="166">
        <v>0</v>
      </c>
      <c r="L46" s="1"/>
    </row>
    <row r="47" spans="2:12" ht="15.75" hidden="1" thickBot="1" x14ac:dyDescent="0.3">
      <c r="B47" s="1"/>
      <c r="C47" s="1" t="s">
        <v>250</v>
      </c>
      <c r="D47" s="142" t="s">
        <v>234</v>
      </c>
      <c r="E47" s="161" cm="1">
        <f t="array" ref="E47">_xlfn.IFS(VLOOKUP("Term of Invoice",'Invoice Details'!C:D,2,0)="24 Months",VLOOKUP("MI6 Total",C:E,3,0)*24,VLOOKUP("Term of Invoice",'Invoice Details'!C:D,2,0)="12 Months",VLOOKUP("MI6 Total",C:E,3,0)*12)</f>
        <v>0</v>
      </c>
      <c r="F47" s="1"/>
      <c r="H47" s="1"/>
      <c r="I47" s="1" t="s">
        <v>290</v>
      </c>
      <c r="J47" s="127" t="s">
        <v>53</v>
      </c>
      <c r="K47" s="159" cm="1">
        <f t="array" ref="K47">IFERROR(_xlfn.IFS(VLOOKUP("Term of Invoice",'Invoice Details'!C:D,2,0)="12 Months",VLOOKUP("MI6 Tax Total",I:K,3,0)*VLOOKUP("MI6 Quantity",C:E,3,0)*12,VLOOKUP("Term of Invoice",'Invoice Details'!C:D,2,0)="24 Months",VLOOKUP("MI6 Tax Total",I:K,3,0)*VLOOKUP("MI6 Quantity",C:E,3,0)*24),"Review")</f>
        <v>0</v>
      </c>
      <c r="L47" s="1"/>
    </row>
    <row r="48" spans="2:12" ht="15.75" hidden="1" thickBot="1" x14ac:dyDescent="0.3">
      <c r="B48" s="1"/>
      <c r="C48" s="1"/>
      <c r="D48" s="1"/>
      <c r="E48" s="1"/>
      <c r="F48" s="1"/>
      <c r="H48" s="1"/>
      <c r="I48" s="1"/>
      <c r="J48" s="1"/>
      <c r="K48" s="1"/>
      <c r="L48" s="1"/>
    </row>
    <row r="49" spans="2:12" hidden="1" x14ac:dyDescent="0.25">
      <c r="B49" s="1"/>
      <c r="C49" s="1" t="s">
        <v>196</v>
      </c>
      <c r="D49" s="133" t="s">
        <v>55</v>
      </c>
      <c r="E49" s="170"/>
      <c r="F49" s="1"/>
      <c r="H49" s="1"/>
      <c r="I49" s="1"/>
      <c r="J49" s="237" t="s">
        <v>305</v>
      </c>
      <c r="K49" s="238"/>
      <c r="L49" s="1"/>
    </row>
    <row r="50" spans="2:12" hidden="1" x14ac:dyDescent="0.25">
      <c r="B50" s="1"/>
      <c r="C50" s="1" t="s">
        <v>197</v>
      </c>
      <c r="D50" s="88" t="s">
        <v>26</v>
      </c>
      <c r="E50" s="171"/>
      <c r="F50" s="1"/>
      <c r="H50" s="1"/>
      <c r="I50" s="1"/>
      <c r="J50" s="233" t="s">
        <v>305</v>
      </c>
      <c r="K50" s="234"/>
      <c r="L50" s="1"/>
    </row>
    <row r="51" spans="2:12" hidden="1" x14ac:dyDescent="0.25">
      <c r="B51" s="1"/>
      <c r="C51" s="1" t="s">
        <v>198</v>
      </c>
      <c r="D51" s="143" t="s">
        <v>20</v>
      </c>
      <c r="E51" s="171"/>
      <c r="F51" s="1"/>
      <c r="H51" s="1"/>
      <c r="I51" s="1"/>
      <c r="J51" s="233" t="s">
        <v>305</v>
      </c>
      <c r="K51" s="234"/>
      <c r="L51" s="1"/>
    </row>
    <row r="52" spans="2:12" hidden="1" x14ac:dyDescent="0.25">
      <c r="B52" s="1"/>
      <c r="C52" s="1" t="s">
        <v>199</v>
      </c>
      <c r="D52" s="134" t="s">
        <v>21</v>
      </c>
      <c r="E52" s="172"/>
      <c r="F52" s="1"/>
      <c r="H52" s="1"/>
      <c r="I52" s="1"/>
      <c r="J52" s="233" t="s">
        <v>305</v>
      </c>
      <c r="K52" s="234"/>
      <c r="L52" s="1"/>
    </row>
    <row r="53" spans="2:12" hidden="1" x14ac:dyDescent="0.25">
      <c r="B53" s="1"/>
      <c r="C53" s="1" t="s">
        <v>228</v>
      </c>
      <c r="D53" s="143" t="s">
        <v>233</v>
      </c>
      <c r="E53" s="160">
        <f>(IFERROR(VLOOKUP("MI7 Cost", C:E,3,0),"Review"))*(IFERROR(VLOOKUP("MI7 Quantity",C:E,3,0),"Review"))</f>
        <v>0</v>
      </c>
      <c r="F53" s="1"/>
      <c r="H53" s="1"/>
      <c r="I53" s="1" t="s">
        <v>291</v>
      </c>
      <c r="J53" s="126" t="s">
        <v>52</v>
      </c>
      <c r="K53" s="166">
        <v>0</v>
      </c>
      <c r="L53" s="1"/>
    </row>
    <row r="54" spans="2:12" ht="15.75" hidden="1" thickBot="1" x14ac:dyDescent="0.3">
      <c r="B54" s="1"/>
      <c r="C54" s="1" t="s">
        <v>251</v>
      </c>
      <c r="D54" s="142" t="s">
        <v>234</v>
      </c>
      <c r="E54" s="161" cm="1">
        <f t="array" ref="E54">_xlfn.IFS(VLOOKUP("Term of Invoice",'Invoice Details'!C:D,2,0)="24 Months",VLOOKUP("MI7 Total",C:E,3,0)*24,VLOOKUP("Term of Invoice",'Invoice Details'!C:D,2,0)="12 Months",VLOOKUP("MI7 Total",C:E,3,0)*12)</f>
        <v>0</v>
      </c>
      <c r="F54" s="1"/>
      <c r="H54" s="1"/>
      <c r="I54" s="1" t="s">
        <v>292</v>
      </c>
      <c r="J54" s="127" t="s">
        <v>53</v>
      </c>
      <c r="K54" s="159" cm="1">
        <f t="array" ref="K54">IFERROR(_xlfn.IFS(VLOOKUP("Term of Invoice",'Invoice Details'!C:D,2,0)="12 Months",VLOOKUP("MI7 Tax Total",I:K,3,0)*VLOOKUP("MI7 Quantity",C:E,3,0)*12,VLOOKUP("Term of Invoice",'Invoice Details'!C:D,2,0)="24 Months",VLOOKUP("MI7 Tax Total",I:K,3,0)*VLOOKUP("MI7 Quantity",C:E,3,0)*24),"Review")</f>
        <v>0</v>
      </c>
      <c r="L54" s="1"/>
    </row>
    <row r="55" spans="2:12" ht="15.75" hidden="1" thickBot="1" x14ac:dyDescent="0.3">
      <c r="B55" s="1"/>
      <c r="C55" s="1"/>
      <c r="D55" s="1"/>
      <c r="E55" s="1"/>
      <c r="F55" s="1"/>
      <c r="H55" s="1"/>
      <c r="I55" s="1"/>
      <c r="J55" s="1"/>
      <c r="K55" s="1"/>
      <c r="L55" s="1"/>
    </row>
    <row r="56" spans="2:12" hidden="1" x14ac:dyDescent="0.25">
      <c r="B56" s="1"/>
      <c r="C56" s="1" t="s">
        <v>200</v>
      </c>
      <c r="D56" s="133" t="s">
        <v>55</v>
      </c>
      <c r="E56" s="170"/>
      <c r="F56" s="1"/>
      <c r="H56" s="1"/>
      <c r="I56" s="1"/>
      <c r="J56" s="237" t="s">
        <v>305</v>
      </c>
      <c r="K56" s="238"/>
      <c r="L56" s="1"/>
    </row>
    <row r="57" spans="2:12" hidden="1" x14ac:dyDescent="0.25">
      <c r="B57" s="1"/>
      <c r="C57" s="1" t="s">
        <v>201</v>
      </c>
      <c r="D57" s="88" t="s">
        <v>26</v>
      </c>
      <c r="E57" s="171"/>
      <c r="F57" s="1"/>
      <c r="H57" s="1"/>
      <c r="I57" s="1"/>
      <c r="J57" s="233" t="s">
        <v>305</v>
      </c>
      <c r="K57" s="234"/>
      <c r="L57" s="1"/>
    </row>
    <row r="58" spans="2:12" hidden="1" x14ac:dyDescent="0.25">
      <c r="B58" s="1"/>
      <c r="C58" s="1" t="s">
        <v>202</v>
      </c>
      <c r="D58" s="143" t="s">
        <v>20</v>
      </c>
      <c r="E58" s="171"/>
      <c r="F58" s="1"/>
      <c r="H58" s="1"/>
      <c r="I58" s="1"/>
      <c r="J58" s="233" t="s">
        <v>305</v>
      </c>
      <c r="K58" s="234"/>
      <c r="L58" s="1"/>
    </row>
    <row r="59" spans="2:12" hidden="1" x14ac:dyDescent="0.25">
      <c r="B59" s="1"/>
      <c r="C59" s="1" t="s">
        <v>203</v>
      </c>
      <c r="D59" s="134" t="s">
        <v>21</v>
      </c>
      <c r="E59" s="172"/>
      <c r="F59" s="1"/>
      <c r="H59" s="1"/>
      <c r="I59" s="1"/>
      <c r="J59" s="233" t="s">
        <v>305</v>
      </c>
      <c r="K59" s="234"/>
      <c r="L59" s="1"/>
    </row>
    <row r="60" spans="2:12" hidden="1" x14ac:dyDescent="0.25">
      <c r="B60" s="1"/>
      <c r="C60" s="1" t="s">
        <v>229</v>
      </c>
      <c r="D60" s="143" t="s">
        <v>233</v>
      </c>
      <c r="E60" s="160">
        <f>(IFERROR(VLOOKUP("MI8 Cost", C:E,3,0),"Review"))*(IFERROR(VLOOKUP("MI8 Quantity",C:E,3,0),"Review"))</f>
        <v>0</v>
      </c>
      <c r="F60" s="1"/>
      <c r="H60" s="1"/>
      <c r="I60" s="1" t="s">
        <v>293</v>
      </c>
      <c r="J60" s="126" t="s">
        <v>52</v>
      </c>
      <c r="K60" s="166">
        <v>0</v>
      </c>
      <c r="L60" s="1"/>
    </row>
    <row r="61" spans="2:12" ht="15.75" hidden="1" thickBot="1" x14ac:dyDescent="0.3">
      <c r="B61" s="1"/>
      <c r="C61" s="1" t="s">
        <v>252</v>
      </c>
      <c r="D61" s="142" t="s">
        <v>234</v>
      </c>
      <c r="E61" s="161" cm="1">
        <f t="array" ref="E61">_xlfn.IFS(VLOOKUP("Term of Invoice",'Invoice Details'!C:D,2,0)="24 Months",VLOOKUP("MI8 Total",C:E,3,0)*24,VLOOKUP("Term of Invoice",'Invoice Details'!C:D,2,0)="12 Months",VLOOKUP("MI8 Total",C:E,3,0)*12)</f>
        <v>0</v>
      </c>
      <c r="F61" s="1"/>
      <c r="H61" s="1"/>
      <c r="I61" s="1" t="s">
        <v>294</v>
      </c>
      <c r="J61" s="127" t="s">
        <v>53</v>
      </c>
      <c r="K61" s="159" cm="1">
        <f t="array" ref="K61">IFERROR(_xlfn.IFS(VLOOKUP("Term of Invoice",'Invoice Details'!C:D,2,0)="12 Months",VLOOKUP("MI8 Tax Total",I:K,3,0)*VLOOKUP("MI8 Quantity",C:E,3,0)*12,VLOOKUP("Term of Invoice",'Invoice Details'!C:D,2,0)="24 Months",VLOOKUP("MI8 Tax Total",I:K,3,0)*VLOOKUP("MI8 Quantity",C:E,3,0)*24),"Review")</f>
        <v>0</v>
      </c>
      <c r="L61" s="1"/>
    </row>
    <row r="62" spans="2:12" ht="15.75" hidden="1" thickBot="1" x14ac:dyDescent="0.3">
      <c r="B62" s="1"/>
      <c r="C62" s="1"/>
      <c r="D62" s="1"/>
      <c r="E62" s="1"/>
      <c r="F62" s="1"/>
      <c r="H62" s="1"/>
      <c r="I62" s="1"/>
      <c r="J62" s="1"/>
      <c r="K62" s="1"/>
      <c r="L62" s="1"/>
    </row>
    <row r="63" spans="2:12" hidden="1" x14ac:dyDescent="0.25">
      <c r="B63" s="1"/>
      <c r="C63" s="1" t="s">
        <v>204</v>
      </c>
      <c r="D63" s="133" t="s">
        <v>55</v>
      </c>
      <c r="E63" s="170"/>
      <c r="F63" s="1"/>
      <c r="H63" s="1"/>
      <c r="I63" s="1"/>
      <c r="J63" s="237" t="s">
        <v>305</v>
      </c>
      <c r="K63" s="238"/>
      <c r="L63" s="1"/>
    </row>
    <row r="64" spans="2:12" hidden="1" x14ac:dyDescent="0.25">
      <c r="B64" s="1"/>
      <c r="C64" s="1" t="s">
        <v>205</v>
      </c>
      <c r="D64" s="88" t="s">
        <v>26</v>
      </c>
      <c r="E64" s="171"/>
      <c r="F64" s="1"/>
      <c r="H64" s="1"/>
      <c r="I64" s="1"/>
      <c r="J64" s="233" t="s">
        <v>305</v>
      </c>
      <c r="K64" s="234"/>
      <c r="L64" s="1"/>
    </row>
    <row r="65" spans="2:12" hidden="1" x14ac:dyDescent="0.25">
      <c r="B65" s="1"/>
      <c r="C65" s="1" t="s">
        <v>206</v>
      </c>
      <c r="D65" s="143" t="s">
        <v>20</v>
      </c>
      <c r="E65" s="171"/>
      <c r="F65" s="1"/>
      <c r="H65" s="1"/>
      <c r="I65" s="1"/>
      <c r="J65" s="233" t="s">
        <v>305</v>
      </c>
      <c r="K65" s="234"/>
      <c r="L65" s="1"/>
    </row>
    <row r="66" spans="2:12" hidden="1" x14ac:dyDescent="0.25">
      <c r="B66" s="1"/>
      <c r="C66" s="1" t="s">
        <v>207</v>
      </c>
      <c r="D66" s="134" t="s">
        <v>21</v>
      </c>
      <c r="E66" s="172"/>
      <c r="F66" s="1"/>
      <c r="H66" s="1"/>
      <c r="I66" s="1"/>
      <c r="J66" s="233" t="s">
        <v>305</v>
      </c>
      <c r="K66" s="234"/>
      <c r="L66" s="1"/>
    </row>
    <row r="67" spans="2:12" hidden="1" x14ac:dyDescent="0.25">
      <c r="B67" s="1"/>
      <c r="C67" s="1" t="s">
        <v>230</v>
      </c>
      <c r="D67" s="143" t="s">
        <v>233</v>
      </c>
      <c r="E67" s="160">
        <f>(IFERROR(VLOOKUP("MI9 Cost", C:E,3,0),"Review"))*(IFERROR(VLOOKUP("MI9 Quantity",C:E,3,0),"Review"))</f>
        <v>0</v>
      </c>
      <c r="F67" s="1"/>
      <c r="H67" s="1"/>
      <c r="I67" s="1" t="s">
        <v>295</v>
      </c>
      <c r="J67" s="126" t="s">
        <v>52</v>
      </c>
      <c r="K67" s="166">
        <v>0</v>
      </c>
      <c r="L67" s="1"/>
    </row>
    <row r="68" spans="2:12" ht="15.75" hidden="1" thickBot="1" x14ac:dyDescent="0.3">
      <c r="B68" s="1"/>
      <c r="C68" s="1" t="s">
        <v>253</v>
      </c>
      <c r="D68" s="142" t="s">
        <v>234</v>
      </c>
      <c r="E68" s="161" cm="1">
        <f t="array" ref="E68">_xlfn.IFS(VLOOKUP("Term of Invoice",'Invoice Details'!C:D,2,0)="24 Months",VLOOKUP("MI9 Total",C:E,3,0)*24,VLOOKUP("Term of Invoice",'Invoice Details'!C:D,2,0)="12 Months",VLOOKUP("MI9 Total",C:E,3,0)*12)</f>
        <v>0</v>
      </c>
      <c r="F68" s="1"/>
      <c r="H68" s="1"/>
      <c r="I68" s="1" t="s">
        <v>296</v>
      </c>
      <c r="J68" s="127" t="s">
        <v>53</v>
      </c>
      <c r="K68" s="159" cm="1">
        <f t="array" ref="K68">IFERROR(_xlfn.IFS(VLOOKUP("Term of Invoice",'Invoice Details'!C:D,2,0)="12 Months",VLOOKUP("MI9 Tax Total",I:K,3,0)*VLOOKUP("MI9 Quantity",C:E,3,0)*12,VLOOKUP("Term of Invoice",'Invoice Details'!C:D,2,0)="24 Months",VLOOKUP("MI9 Tax Total",I:K,3,0)*VLOOKUP("MI9 Quantity",C:E,3,0)*24),"Review")</f>
        <v>0</v>
      </c>
      <c r="L68" s="1"/>
    </row>
    <row r="69" spans="2:12" ht="15.75" hidden="1" thickBot="1" x14ac:dyDescent="0.3">
      <c r="B69" s="1"/>
      <c r="C69" s="1"/>
      <c r="D69" s="1"/>
      <c r="E69" s="1"/>
      <c r="F69" s="1"/>
      <c r="H69" s="1"/>
      <c r="I69" s="1"/>
      <c r="J69" s="1"/>
      <c r="K69" s="1"/>
      <c r="L69" s="1"/>
    </row>
    <row r="70" spans="2:12" hidden="1" x14ac:dyDescent="0.25">
      <c r="B70" s="1"/>
      <c r="C70" s="1" t="s">
        <v>208</v>
      </c>
      <c r="D70" s="133" t="s">
        <v>55</v>
      </c>
      <c r="E70" s="170"/>
      <c r="F70" s="1"/>
      <c r="H70" s="1"/>
      <c r="I70" s="1"/>
      <c r="J70" s="237" t="s">
        <v>305</v>
      </c>
      <c r="K70" s="238"/>
      <c r="L70" s="1"/>
    </row>
    <row r="71" spans="2:12" hidden="1" x14ac:dyDescent="0.25">
      <c r="B71" s="1"/>
      <c r="C71" s="1" t="s">
        <v>209</v>
      </c>
      <c r="D71" s="88" t="s">
        <v>26</v>
      </c>
      <c r="E71" s="171"/>
      <c r="F71" s="1"/>
      <c r="H71" s="1"/>
      <c r="I71" s="1"/>
      <c r="J71" s="233" t="s">
        <v>305</v>
      </c>
      <c r="K71" s="234"/>
      <c r="L71" s="1"/>
    </row>
    <row r="72" spans="2:12" hidden="1" x14ac:dyDescent="0.25">
      <c r="B72" s="1"/>
      <c r="C72" s="1" t="s">
        <v>210</v>
      </c>
      <c r="D72" s="143" t="s">
        <v>20</v>
      </c>
      <c r="E72" s="171"/>
      <c r="F72" s="1"/>
      <c r="H72" s="1"/>
      <c r="I72" s="1"/>
      <c r="J72" s="233" t="s">
        <v>305</v>
      </c>
      <c r="K72" s="234"/>
      <c r="L72" s="1"/>
    </row>
    <row r="73" spans="2:12" hidden="1" x14ac:dyDescent="0.25">
      <c r="B73" s="1"/>
      <c r="C73" s="1" t="s">
        <v>211</v>
      </c>
      <c r="D73" s="134" t="s">
        <v>21</v>
      </c>
      <c r="E73" s="172"/>
      <c r="F73" s="1"/>
      <c r="H73" s="1"/>
      <c r="I73" s="1"/>
      <c r="J73" s="233" t="s">
        <v>305</v>
      </c>
      <c r="K73" s="234"/>
      <c r="L73" s="1"/>
    </row>
    <row r="74" spans="2:12" hidden="1" x14ac:dyDescent="0.25">
      <c r="B74" s="1"/>
      <c r="C74" s="1" t="s">
        <v>231</v>
      </c>
      <c r="D74" s="143" t="s">
        <v>233</v>
      </c>
      <c r="E74" s="160">
        <f>(IFERROR(VLOOKUP("MI10 Cost", C:E,3,0),"Review"))*(IFERROR(VLOOKUP("MI10 Quantity",C:E,3,0),"Review"))</f>
        <v>0</v>
      </c>
      <c r="F74" s="1"/>
      <c r="H74" s="1"/>
      <c r="I74" s="1" t="s">
        <v>297</v>
      </c>
      <c r="J74" s="126" t="s">
        <v>52</v>
      </c>
      <c r="K74" s="166">
        <v>0</v>
      </c>
      <c r="L74" s="1"/>
    </row>
    <row r="75" spans="2:12" ht="15.75" hidden="1" thickBot="1" x14ac:dyDescent="0.3">
      <c r="B75" s="1"/>
      <c r="C75" s="1" t="s">
        <v>254</v>
      </c>
      <c r="D75" s="142" t="s">
        <v>234</v>
      </c>
      <c r="E75" s="161" cm="1">
        <f t="array" ref="E75">_xlfn.IFS(VLOOKUP("Term of Invoice",'Invoice Details'!C:D,2,0)="24 Months",VLOOKUP("MI10 Total",C:E,3,0)*24,VLOOKUP("Term of Invoice",'Invoice Details'!C:D,2,0)="12 Months",VLOOKUP("MI10 Total",C:E,3,0)*12)</f>
        <v>0</v>
      </c>
      <c r="F75" s="1"/>
      <c r="H75" s="1"/>
      <c r="I75" s="1" t="s">
        <v>298</v>
      </c>
      <c r="J75" s="127" t="s">
        <v>53</v>
      </c>
      <c r="K75" s="159" cm="1">
        <f t="array" ref="K75">IFERROR(_xlfn.IFS(VLOOKUP("Term of Invoice",'Invoice Details'!C:D,2,0)="12 Months",VLOOKUP("MI10 Tax Total",I:K,3,0)*VLOOKUP("MI10 Quantity",C:E,3,0)*12,VLOOKUP("Term of Invoice",'Invoice Details'!C:D,2,0)="24 Months",VLOOKUP("MI10 Tax Total",I:K,3,0)*VLOOKUP("MI10 Quantity",C:E,3,0)*24),"Review")</f>
        <v>0</v>
      </c>
      <c r="L75" s="1"/>
    </row>
    <row r="76" spans="2:12" ht="15.75" thickBot="1" x14ac:dyDescent="0.3">
      <c r="B76" s="1"/>
      <c r="C76" s="1"/>
      <c r="D76" s="1"/>
      <c r="E76" s="1"/>
      <c r="F76" s="1"/>
      <c r="H76" s="1"/>
      <c r="I76" s="1"/>
      <c r="J76" s="1"/>
      <c r="K76" s="1"/>
      <c r="L76" s="1"/>
    </row>
    <row r="77" spans="2:12" ht="15.75" thickBot="1" x14ac:dyDescent="0.3">
      <c r="B77" s="1"/>
      <c r="C77" s="1"/>
      <c r="D77" s="135" t="s">
        <v>60</v>
      </c>
      <c r="E77" s="182">
        <f>SUM(E12,E19,E26,E33,E40,E47,E54,E61,E68,E75)</f>
        <v>0</v>
      </c>
      <c r="F77" s="1"/>
      <c r="H77" s="1"/>
      <c r="I77" s="1" t="s">
        <v>299</v>
      </c>
      <c r="J77" s="136" t="s">
        <v>300</v>
      </c>
      <c r="K77" s="183">
        <f>SUM(K12,K19,K26,K33,K40,K47,K54,K61,K68,K75)</f>
        <v>0</v>
      </c>
      <c r="L77" s="1"/>
    </row>
    <row r="78" spans="2:12" x14ac:dyDescent="0.25">
      <c r="B78" s="1"/>
      <c r="C78" s="1"/>
      <c r="D78" s="1"/>
      <c r="E78" s="1"/>
      <c r="F78" s="1"/>
      <c r="H78" s="1"/>
      <c r="I78" s="1"/>
      <c r="J78" s="1"/>
      <c r="K78" s="1"/>
      <c r="L78" s="1"/>
    </row>
  </sheetData>
  <mergeCells count="43">
    <mergeCell ref="D3:E3"/>
    <mergeCell ref="J3:K3"/>
    <mergeCell ref="J5:K5"/>
    <mergeCell ref="J7:K7"/>
    <mergeCell ref="J8:K8"/>
    <mergeCell ref="J9:K9"/>
    <mergeCell ref="J10:K10"/>
    <mergeCell ref="J14:K14"/>
    <mergeCell ref="J15:K15"/>
    <mergeCell ref="J16:K16"/>
    <mergeCell ref="J17:K17"/>
    <mergeCell ref="J21:K21"/>
    <mergeCell ref="J22:K22"/>
    <mergeCell ref="J23:K23"/>
    <mergeCell ref="J24:K24"/>
    <mergeCell ref="J28:K28"/>
    <mergeCell ref="J29:K29"/>
    <mergeCell ref="J30:K30"/>
    <mergeCell ref="J31:K31"/>
    <mergeCell ref="J35:K35"/>
    <mergeCell ref="J36:K36"/>
    <mergeCell ref="J37:K37"/>
    <mergeCell ref="J38:K38"/>
    <mergeCell ref="J42:K42"/>
    <mergeCell ref="J43:K43"/>
    <mergeCell ref="J44:K44"/>
    <mergeCell ref="J45:K45"/>
    <mergeCell ref="J49:K49"/>
    <mergeCell ref="J50:K50"/>
    <mergeCell ref="J51:K51"/>
    <mergeCell ref="J52:K52"/>
    <mergeCell ref="J56:K56"/>
    <mergeCell ref="J57:K57"/>
    <mergeCell ref="J58:K58"/>
    <mergeCell ref="J59:K59"/>
    <mergeCell ref="J71:K71"/>
    <mergeCell ref="J72:K72"/>
    <mergeCell ref="J73:K73"/>
    <mergeCell ref="J63:K63"/>
    <mergeCell ref="J64:K64"/>
    <mergeCell ref="J65:K65"/>
    <mergeCell ref="J66:K66"/>
    <mergeCell ref="J70:K70"/>
  </mergeCells>
  <dataValidations count="1">
    <dataValidation type="list" allowBlank="1" showInputMessage="1" showErrorMessage="1" sqref="E5" xr:uid="{B861B14C-310C-47C7-9940-EA7E57A4B2C5}">
      <formula1>"0,1,2,3,4,5,6,7,8,9,10"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Custom Invoice</vt:lpstr>
      <vt:lpstr>Instructions</vt:lpstr>
      <vt:lpstr>Control</vt:lpstr>
      <vt:lpstr>Invoice Details</vt:lpstr>
      <vt:lpstr>Equipment</vt:lpstr>
      <vt:lpstr>Voice</vt:lpstr>
      <vt:lpstr>Data</vt:lpstr>
      <vt:lpstr>'Custom Invoice'!Print_Area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Kennedy, Jessica</dc:creator>
  <cp:lastModifiedBy>Jessica Kennedy</cp:lastModifiedBy>
  <cp:lastPrinted>2021-05-18T20:43:54Z</cp:lastPrinted>
  <dcterms:created xsi:type="dcterms:W3CDTF">2021-04-01T16:04:06Z</dcterms:created>
  <dcterms:modified xsi:type="dcterms:W3CDTF">2022-04-17T06:45:41Z</dcterms:modified>
</cp:coreProperties>
</file>